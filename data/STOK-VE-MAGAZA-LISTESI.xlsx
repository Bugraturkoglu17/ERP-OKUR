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BuÇalışmaKitabı" defaultThemeVersion="124226"/>
  <xr:revisionPtr revIDLastSave="0" documentId="13_ncr:1_{E3609CE4-64B6-418D-AAA8-5DADDD19C64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tok Kartı ve Fiyatlar" sheetId="8" r:id="rId1"/>
    <sheet name="Mağazalar" sheetId="9" r:id="rId2"/>
  </sheets>
  <definedNames>
    <definedName name="_xlnm._FilterDatabase" localSheetId="1" hidden="1">Mağazalar!$A$1:$H$805</definedName>
    <definedName name="_xlnm._FilterDatabase" localSheetId="0" hidden="1">'Stok Kartı ve Fiyatlar'!$C$3:$J$156</definedName>
    <definedName name="Ampul">#REF!</definedName>
    <definedName name="BFR">#REF!</definedName>
    <definedName name="df">#REF!</definedName>
    <definedName name="DM">#REF!</definedName>
    <definedName name="ECE">#REF!</definedName>
    <definedName name="EU">#REF!</definedName>
    <definedName name="FF">#REF!</definedName>
    <definedName name="GBP">#REF!</definedName>
    <definedName name="gk">#REF!</definedName>
    <definedName name="HFL">#REF!</definedName>
    <definedName name="ITL">#REF!</definedName>
    <definedName name="ik">#REF!</definedName>
    <definedName name="JPY">#REF!</definedName>
    <definedName name="mk">#REF!</definedName>
    <definedName name="MMM_MIGROS">#REF!</definedName>
    <definedName name="SFR">#REF!</definedName>
    <definedName name="USD">#REF!</definedName>
    <definedName name="_xlnm.Print_Area" localSheetId="0">'Stok Kartı ve Fiyatlar'!$A$1:$J$256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6" i="8" l="1"/>
  <c r="J255" i="8"/>
  <c r="J254" i="8"/>
  <c r="J253" i="8"/>
  <c r="J252" i="8"/>
  <c r="J251" i="8"/>
  <c r="J250" i="8"/>
  <c r="J249" i="8"/>
  <c r="J248" i="8"/>
  <c r="J247" i="8"/>
  <c r="J246" i="8"/>
  <c r="J245" i="8"/>
  <c r="J244" i="8"/>
  <c r="J243" i="8"/>
  <c r="J242" i="8"/>
  <c r="J241" i="8"/>
  <c r="J240" i="8"/>
  <c r="J239" i="8"/>
  <c r="J238" i="8"/>
  <c r="J237" i="8"/>
  <c r="J236" i="8"/>
  <c r="J235" i="8"/>
  <c r="J234" i="8"/>
  <c r="J233" i="8"/>
  <c r="J232" i="8"/>
  <c r="J231" i="8"/>
  <c r="J230" i="8"/>
  <c r="J229" i="8"/>
  <c r="J228" i="8"/>
  <c r="J227" i="8"/>
  <c r="J226" i="8"/>
  <c r="J225" i="8"/>
  <c r="J224" i="8"/>
  <c r="J223" i="8"/>
  <c r="J222" i="8"/>
  <c r="J221" i="8"/>
  <c r="J220" i="8"/>
  <c r="J219" i="8"/>
  <c r="J218" i="8"/>
  <c r="J217" i="8"/>
  <c r="J216" i="8"/>
  <c r="J215" i="8"/>
  <c r="J214" i="8"/>
  <c r="J213" i="8"/>
  <c r="J212" i="8"/>
  <c r="J211" i="8"/>
  <c r="J210" i="8"/>
  <c r="J209" i="8"/>
  <c r="J208" i="8"/>
  <c r="J207" i="8"/>
  <c r="J206" i="8"/>
  <c r="J205" i="8"/>
  <c r="J204" i="8"/>
  <c r="J203" i="8"/>
  <c r="J202" i="8"/>
  <c r="J201" i="8"/>
  <c r="J200" i="8"/>
  <c r="J199" i="8"/>
  <c r="J198" i="8"/>
  <c r="J197" i="8"/>
  <c r="J196" i="8"/>
  <c r="J195" i="8"/>
  <c r="J194" i="8"/>
  <c r="J193" i="8"/>
  <c r="J192" i="8"/>
  <c r="J191" i="8"/>
  <c r="J190" i="8"/>
  <c r="J189" i="8"/>
  <c r="J188" i="8"/>
  <c r="J187" i="8"/>
  <c r="J186" i="8"/>
  <c r="J185" i="8"/>
  <c r="J184" i="8"/>
  <c r="J183" i="8"/>
  <c r="J182" i="8"/>
  <c r="J181" i="8"/>
  <c r="J180" i="8"/>
  <c r="J179" i="8"/>
  <c r="J178" i="8"/>
  <c r="J177" i="8"/>
  <c r="J176" i="8"/>
  <c r="J175" i="8"/>
  <c r="J174" i="8"/>
  <c r="J173" i="8"/>
  <c r="J172" i="8"/>
  <c r="J171" i="8"/>
  <c r="J170" i="8"/>
  <c r="J169" i="8"/>
  <c r="J168" i="8"/>
  <c r="J167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42" i="8"/>
  <c r="J141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G107" i="8"/>
  <c r="J106" i="8"/>
  <c r="G106" i="8"/>
  <c r="J105" i="8"/>
  <c r="G105" i="8"/>
  <c r="J104" i="8"/>
  <c r="G104" i="8"/>
  <c r="J103" i="8"/>
  <c r="G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</calcChain>
</file>

<file path=xl/sharedStrings.xml><?xml version="1.0" encoding="utf-8"?>
<sst xmlns="http://schemas.openxmlformats.org/spreadsheetml/2006/main" count="6664" uniqueCount="2132">
  <si>
    <t>ANKARA</t>
  </si>
  <si>
    <t>MM</t>
  </si>
  <si>
    <t>MMM</t>
  </si>
  <si>
    <t>KAYSERİ</t>
  </si>
  <si>
    <t>5M</t>
  </si>
  <si>
    <t>BOLU</t>
  </si>
  <si>
    <t>SAMSUN</t>
  </si>
  <si>
    <t>SİVAS</t>
  </si>
  <si>
    <t>KASTAMONU</t>
  </si>
  <si>
    <t>KIRIKKALE</t>
  </si>
  <si>
    <t>TOKAT</t>
  </si>
  <si>
    <t>ZONGULDAK</t>
  </si>
  <si>
    <t>NEVŞEHİR</t>
  </si>
  <si>
    <t>AKSARAY</t>
  </si>
  <si>
    <t>AMASYA</t>
  </si>
  <si>
    <t>KÜTAHYA</t>
  </si>
  <si>
    <t>KONYA</t>
  </si>
  <si>
    <t>ESKİŞEHİR</t>
  </si>
  <si>
    <t>BARTIN</t>
  </si>
  <si>
    <t>KARABÜK M MİGROS</t>
  </si>
  <si>
    <t>KARABÜK</t>
  </si>
  <si>
    <t>ÇORUM</t>
  </si>
  <si>
    <t>SAHİL SAMSUN M MİGROS</t>
  </si>
  <si>
    <t>ATATÜRK BULVARI SAMSUN M</t>
  </si>
  <si>
    <t>KIRŞEHİR</t>
  </si>
  <si>
    <t>ÇORUM SİGORTA M MİGROS</t>
  </si>
  <si>
    <t>ÇAKIRLAR ANKARA M MİGROS</t>
  </si>
  <si>
    <t>MALZEME KODU</t>
  </si>
  <si>
    <t>MALZEME</t>
  </si>
  <si>
    <t>TİP</t>
  </si>
  <si>
    <t>50  W</t>
  </si>
  <si>
    <t xml:space="preserve">KARE FAN </t>
  </si>
  <si>
    <t xml:space="preserve">12*12 </t>
  </si>
  <si>
    <t>4VPR 25 250mm</t>
  </si>
  <si>
    <t>4VPR 35 300mm</t>
  </si>
  <si>
    <t>6VPR 35 350mm 900d/d</t>
  </si>
  <si>
    <t xml:space="preserve">4VPR 45 400mm </t>
  </si>
  <si>
    <t>AKSE-450 4A4</t>
  </si>
  <si>
    <t>AKSE-500 6KA4 900 d/d</t>
  </si>
  <si>
    <t>AKSD-800 6-6 A6 PANEL</t>
  </si>
  <si>
    <t>FAN ÇEMBERİ</t>
  </si>
  <si>
    <t>20cm</t>
  </si>
  <si>
    <t>FAN KANADI</t>
  </si>
  <si>
    <t>1/4"</t>
  </si>
  <si>
    <t>3/8"</t>
  </si>
  <si>
    <t>1/2"</t>
  </si>
  <si>
    <t>5/8"</t>
  </si>
  <si>
    <t>SOLENOİD BOBİNİ</t>
  </si>
  <si>
    <t>9100/RA6</t>
  </si>
  <si>
    <t>ORFİS</t>
  </si>
  <si>
    <t>ALÇAK BASINÇ SWITCH</t>
  </si>
  <si>
    <t>YÜKSEK BASINÇ SWITCH</t>
  </si>
  <si>
    <t>KOMBİNE OTOMATİK SGN</t>
  </si>
  <si>
    <t>306X</t>
  </si>
  <si>
    <t>VAKUM OTOMATİĞİ   SGN</t>
  </si>
  <si>
    <t xml:space="preserve">106X </t>
  </si>
  <si>
    <t>PRESSİON OTOMATİĞİ SGN</t>
  </si>
  <si>
    <t>130X</t>
  </si>
  <si>
    <t>PJ EASY PYCW1Z0567 RTC</t>
  </si>
  <si>
    <t>MASTERCELLA MD33 RTC</t>
  </si>
  <si>
    <t>CAREL DİGİTAL TERMOSTAT IR33</t>
  </si>
  <si>
    <t>IRCWCOLBO1 RTC</t>
  </si>
  <si>
    <t>CVSTDUMROO RS 485 - USB</t>
  </si>
  <si>
    <t>PCOS004850</t>
  </si>
  <si>
    <t>IROPZ400850</t>
  </si>
  <si>
    <t>NTC015HP00 1.5 mt</t>
  </si>
  <si>
    <t>NTC030HP00 3 mt</t>
  </si>
  <si>
    <t>NTC060WP00 6mt</t>
  </si>
  <si>
    <t>SPKT0013R0</t>
  </si>
  <si>
    <t>SPKT0033R0</t>
  </si>
  <si>
    <t>SPKC002310 2mt.</t>
  </si>
  <si>
    <t>SPKC005310 5mt.</t>
  </si>
  <si>
    <t>PCO100CLCK0</t>
  </si>
  <si>
    <t>FCS309410</t>
  </si>
  <si>
    <t>FCS3124010</t>
  </si>
  <si>
    <t>CAREL ELEKTRONİK  VALF BOBİN</t>
  </si>
  <si>
    <t>FCSM122300 12 AMPER MONO</t>
  </si>
  <si>
    <t>DÖNÜŞ KARTUŞU MEKANİK</t>
  </si>
  <si>
    <t xml:space="preserve">C-4495/C </t>
  </si>
  <si>
    <t>LİKİT KARTUŞU (YÜK.KAPASİTE)</t>
  </si>
  <si>
    <t>H48C-4490/A</t>
  </si>
  <si>
    <t>LİKİT KARTUŞU ASİT</t>
  </si>
  <si>
    <t>TC-SD48</t>
  </si>
  <si>
    <t>3/4"</t>
  </si>
  <si>
    <t>7/8"</t>
  </si>
  <si>
    <t>1"1/8</t>
  </si>
  <si>
    <t>3/4"(KAYNAKLI)</t>
  </si>
  <si>
    <t>YAĞ REGÜLATÖR VANASI</t>
  </si>
  <si>
    <t>S-9106</t>
  </si>
  <si>
    <t>YAĞ FİLTRESİ</t>
  </si>
  <si>
    <t>S-9105</t>
  </si>
  <si>
    <t>YAĞ BASINÇ VALFİ</t>
  </si>
  <si>
    <t>S-9104H</t>
  </si>
  <si>
    <t>TİTREŞİM ALICI</t>
  </si>
  <si>
    <t>1"3/8</t>
  </si>
  <si>
    <t>1"5/8</t>
  </si>
  <si>
    <t>LİKİT KARTUŞ KOVANI</t>
  </si>
  <si>
    <t>RSP-487    7/8"</t>
  </si>
  <si>
    <t>RSP-489   1"1/8</t>
  </si>
  <si>
    <t>DÖNÜŞ KARTUŞ KOVANI</t>
  </si>
  <si>
    <t>RSP-4811 1"3/8</t>
  </si>
  <si>
    <t>RSP-4813 1"5/8</t>
  </si>
  <si>
    <t>RSP-4817 2"1/8</t>
  </si>
  <si>
    <t>KILCAL HORTUM RAKOR TK.</t>
  </si>
  <si>
    <t>metre</t>
  </si>
  <si>
    <t>İZOLASYON ISOPIPE</t>
  </si>
  <si>
    <t>18*19</t>
  </si>
  <si>
    <t>22*19</t>
  </si>
  <si>
    <t>28*19</t>
  </si>
  <si>
    <t>35*19</t>
  </si>
  <si>
    <t>42*19</t>
  </si>
  <si>
    <t>54*19</t>
  </si>
  <si>
    <t>16 mm</t>
  </si>
  <si>
    <t>18 mm</t>
  </si>
  <si>
    <t>22 mm</t>
  </si>
  <si>
    <t>28 mm</t>
  </si>
  <si>
    <t>35 mm</t>
  </si>
  <si>
    <t>42 mm</t>
  </si>
  <si>
    <t>54 mm</t>
  </si>
  <si>
    <t>10 mm</t>
  </si>
  <si>
    <t>12 mm</t>
  </si>
  <si>
    <t>FLANŞLI A.B MANOMETRE</t>
  </si>
  <si>
    <t>RG-250GFB</t>
  </si>
  <si>
    <t>FLANŞLI Y.B MANOMETRE</t>
  </si>
  <si>
    <t>RG-500GFB</t>
  </si>
  <si>
    <t xml:space="preserve">KOMPRESÖR YAĞI </t>
  </si>
  <si>
    <t>ESTER 68</t>
  </si>
  <si>
    <t>litre</t>
  </si>
  <si>
    <t>SOĞUTUCU GAZ 13,5 KG TÜP (kg fiyatı)</t>
  </si>
  <si>
    <t xml:space="preserve">R22 </t>
  </si>
  <si>
    <t>kg</t>
  </si>
  <si>
    <t>SOĞUTUCU GAZ 10,9 KG TÜP  (kg fiyatı)</t>
  </si>
  <si>
    <t>R404</t>
  </si>
  <si>
    <t>SOĞUTUCU GAZ 11,30 KG TÜP (kg fiyatı)</t>
  </si>
  <si>
    <t>R407C</t>
  </si>
  <si>
    <t>R410A</t>
  </si>
  <si>
    <t>SOĞUTUCU GAZ 13,6 KG TÜP (kg fiyatı)</t>
  </si>
  <si>
    <t>R134a</t>
  </si>
  <si>
    <t>MİNERALL 68</t>
  </si>
  <si>
    <t>KONDENSER TEMİZLEME SIVISI</t>
  </si>
  <si>
    <t>1 GL=3,8 LİTRE(1 LT Sİ)</t>
  </si>
  <si>
    <t>R11</t>
  </si>
  <si>
    <t>AZOT GAZI</t>
  </si>
  <si>
    <t>1 m3</t>
  </si>
  <si>
    <t>KONDENSER KAYIŞI</t>
  </si>
  <si>
    <t>MUHTELİF</t>
  </si>
  <si>
    <t>DENGE AYAĞI (TAKOZ)</t>
  </si>
  <si>
    <t>BOYA</t>
  </si>
  <si>
    <t>1 kg</t>
  </si>
  <si>
    <t>TİNER</t>
  </si>
  <si>
    <t>S1</t>
  </si>
  <si>
    <t>S2</t>
  </si>
  <si>
    <t>TRABZON</t>
  </si>
  <si>
    <t>ORDU</t>
  </si>
  <si>
    <t>GİRESUN</t>
  </si>
  <si>
    <t>ARTVİN</t>
  </si>
  <si>
    <t>SİNOP</t>
  </si>
  <si>
    <t>YOZGAT</t>
  </si>
  <si>
    <t>M-JET</t>
  </si>
  <si>
    <t>ARCADİUM ANKARA MACROCENTER</t>
  </si>
  <si>
    <t>NEXT LEVEL ANKARA MACROCENTER</t>
  </si>
  <si>
    <t>ONE TOWER ANKARA MACROCENTER</t>
  </si>
  <si>
    <t>GOP UĞUR MUMCU MACROCENTER</t>
  </si>
  <si>
    <t>KAVAKLIDERE MACROCENTER</t>
  </si>
  <si>
    <t xml:space="preserve"> SOĞUTMA SERVİS MALZEME FİYAT LİSTESİ</t>
  </si>
  <si>
    <t>ÜRÜN TİPİ</t>
  </si>
  <si>
    <t>MARKA</t>
  </si>
  <si>
    <t xml:space="preserve">ÖNERİLEN FİYAT </t>
  </si>
  <si>
    <t xml:space="preserve">Liste Fiyatı Değişim Oranı </t>
  </si>
  <si>
    <t xml:space="preserve">EVAPORATÖR FAN </t>
  </si>
  <si>
    <t xml:space="preserve">DOLAP  FAN MOTORU  </t>
  </si>
  <si>
    <t>EBM,ELCO</t>
  </si>
  <si>
    <t xml:space="preserve">DOLAP ELEKRONİK FAN MOTORU </t>
  </si>
  <si>
    <t>ELCO ,WELLİNGTON,Weiguang</t>
  </si>
  <si>
    <t>IP 65  ECM 12 - 15 ELCO ,ECR2,ECM7112</t>
  </si>
  <si>
    <t xml:space="preserve">Lett,Weiguang </t>
  </si>
  <si>
    <t xml:space="preserve">AKSİYEL FANLAR </t>
  </si>
  <si>
    <t>FAN</t>
  </si>
  <si>
    <t xml:space="preserve">FİLTRE KURUTUCU </t>
  </si>
  <si>
    <t>DRYER</t>
  </si>
  <si>
    <t>CASTEL,DANFOSS</t>
  </si>
  <si>
    <t>1/4" KAYNAKLI</t>
  </si>
  <si>
    <t>3/8" KAYNAKLI</t>
  </si>
  <si>
    <t>1/2" KAYNAKLI</t>
  </si>
  <si>
    <t>5/8" KAYNAKLI</t>
  </si>
  <si>
    <t xml:space="preserve">DANFOSS,CASTEL </t>
  </si>
  <si>
    <t>SELENOİD</t>
  </si>
  <si>
    <t>1/2"KAYNAKLI</t>
  </si>
  <si>
    <t>5/8"KAYNAKLI</t>
  </si>
  <si>
    <t>3/8"KAYNAKLI</t>
  </si>
  <si>
    <t>GENLEŞME VANASI</t>
  </si>
  <si>
    <t>EXPANSİON VALVE</t>
  </si>
  <si>
    <t>DANFOSS,PARKER,HONEYWELL,FUJİKOKİ</t>
  </si>
  <si>
    <t xml:space="preserve">DIŞ DENGELİ VE KAYNAKLI </t>
  </si>
  <si>
    <t>SANHUA</t>
  </si>
  <si>
    <t>DANFOSS</t>
  </si>
  <si>
    <t xml:space="preserve">GAZ GÖSTERGESİ </t>
  </si>
  <si>
    <t>CASTEL</t>
  </si>
  <si>
    <t xml:space="preserve">1/4"KAYNAKLI </t>
  </si>
  <si>
    <t xml:space="preserve">3/8"KAYNAKLI </t>
  </si>
  <si>
    <t xml:space="preserve">1/2"KAYNAKLI </t>
  </si>
  <si>
    <t>GÜVENLİK</t>
  </si>
  <si>
    <t>DANFOSS,RANCO,SAGINOMIYA</t>
  </si>
  <si>
    <t>0,3 BAR-1,3 BAR</t>
  </si>
  <si>
    <t>19 BAR-27 BAR</t>
  </si>
  <si>
    <t>OTOMASYON _KONTROL CİHAZLARI</t>
  </si>
  <si>
    <t>CAREL DİGİTAL TERMOSTAT PJEASY</t>
  </si>
  <si>
    <t>CAREL SOĞUK ODA PANOSU MD33</t>
  </si>
  <si>
    <t>CAREL ARAYÜZ ADAPTÖRÜ CONVERTÖR</t>
  </si>
  <si>
    <t>CAREL M.SİSTEM ARAYÜZ ADAPTÖRÜ</t>
  </si>
  <si>
    <t>CAREL MODÜL ARAYÜZ ADAPTÖRÜ</t>
  </si>
  <si>
    <t>CAREL SICAKLIK SENSÖRÜ</t>
  </si>
  <si>
    <t>CAREL DIŞ ORTAM PROBU METAL UÇLU</t>
  </si>
  <si>
    <t>CAREL PCO ALÇAK BASINÇ SENSÖRÜ</t>
  </si>
  <si>
    <t xml:space="preserve">CAREL  BASINÇ SENSÖRÜ KABLOSU </t>
  </si>
  <si>
    <t xml:space="preserve">CAREL BASINÇ SENSÖRÜ KABLOSU </t>
  </si>
  <si>
    <t xml:space="preserve">CAREL PCO CLOCK CARD </t>
  </si>
  <si>
    <t>CAREL MERKEZİ SİSTEM KONTROL CİHAZI</t>
  </si>
  <si>
    <t xml:space="preserve">CAREL FAN HIZ KONTROL MONOFAZE </t>
  </si>
  <si>
    <t xml:space="preserve"> FAN HIZ KONTROL TRİFAZE </t>
  </si>
  <si>
    <t>CAREL,SELPRO</t>
  </si>
  <si>
    <t xml:space="preserve">VANALAR </t>
  </si>
  <si>
    <t>KÜRESEL VANA</t>
  </si>
  <si>
    <t>3/4"KAYNAKLI</t>
  </si>
  <si>
    <t>7/8"KAYNAKLI</t>
  </si>
  <si>
    <t>1"1/8KAYNAKLI</t>
  </si>
  <si>
    <t>1''3/8KAYNAKLI</t>
  </si>
  <si>
    <t>42 MMKAYNAKLI</t>
  </si>
  <si>
    <t>2''1/8KAYNAKLI</t>
  </si>
  <si>
    <t xml:space="preserve">CHECK VALVE </t>
  </si>
  <si>
    <t>YAĞ SİSTEMLERİ</t>
  </si>
  <si>
    <t xml:space="preserve">ELEKTRONİK YAĞ REGÜLATÖRÜ </t>
  </si>
  <si>
    <t>VALFSAN,EMERSON</t>
  </si>
  <si>
    <t>24V</t>
  </si>
  <si>
    <t>ÖLÇÜM</t>
  </si>
  <si>
    <t>COLDGAUGE;LETT</t>
  </si>
  <si>
    <t>KILCAL HORTUM EKİPMANLARI</t>
  </si>
  <si>
    <t xml:space="preserve">KILCAL  HORTUM GAZ DEVRESİ İÇİN </t>
  </si>
  <si>
    <t xml:space="preserve">GOMAX </t>
  </si>
  <si>
    <t>6 MM</t>
  </si>
  <si>
    <t xml:space="preserve">KILCAL  HORTUM YAĞ  DEVRESİ İÇİN </t>
  </si>
  <si>
    <t>10 MM</t>
  </si>
  <si>
    <t>6 MM-6 MM DÜZ TİP</t>
  </si>
  <si>
    <t xml:space="preserve">KILCAL HORTUM RAKOR TK. 90 </t>
  </si>
  <si>
    <t>6MM 90°</t>
  </si>
  <si>
    <t xml:space="preserve">KILCAL HORTUM RAKOR TK. TE </t>
  </si>
  <si>
    <t>6 MM RAKORLU  T TİPİ</t>
  </si>
  <si>
    <t>10 MM10 MM DÜZ TİP</t>
  </si>
  <si>
    <t>10MM 90°</t>
  </si>
  <si>
    <t>10 MM RAKORLU  T TİPİ</t>
  </si>
  <si>
    <t xml:space="preserve">BAKIR BORU </t>
  </si>
  <si>
    <t xml:space="preserve">ELUMA,HALCOR,AUTOCUMPU </t>
  </si>
  <si>
    <t>KANGAL 10*0,70</t>
  </si>
  <si>
    <t>KANGAL 12*0,70</t>
  </si>
  <si>
    <t>KANGAL 16*0,70</t>
  </si>
  <si>
    <t>KANGAL 18*0,70</t>
  </si>
  <si>
    <t>BOY BORU  22*1</t>
  </si>
  <si>
    <t>BAKIR BORU</t>
  </si>
  <si>
    <t>BOY BORU28*1</t>
  </si>
  <si>
    <t>BOY BORU 35*1</t>
  </si>
  <si>
    <t>BOY BORU 42*1</t>
  </si>
  <si>
    <t>BOY BORU 54*1,5</t>
  </si>
  <si>
    <t>İZOLASYON</t>
  </si>
  <si>
    <t>BAKIR BORU BAĞLANTI MALZEMELERİ</t>
  </si>
  <si>
    <t>RAKOR</t>
  </si>
  <si>
    <t xml:space="preserve"> CASTEL</t>
  </si>
  <si>
    <t xml:space="preserve">BAKIR DİRSEK        </t>
  </si>
  <si>
    <t xml:space="preserve">BAKIR DİRSEK UZUN </t>
  </si>
  <si>
    <t xml:space="preserve">BAKIR TE </t>
  </si>
  <si>
    <t>BAKIR MANŞON</t>
  </si>
  <si>
    <t xml:space="preserve">SOĞUTKANLAR </t>
  </si>
  <si>
    <t xml:space="preserve">YAĞLAR </t>
  </si>
  <si>
    <t>ESTER 32</t>
  </si>
  <si>
    <t xml:space="preserve">DİĞER </t>
  </si>
  <si>
    <t xml:space="preserve">İŞÇİLİKLER </t>
  </si>
  <si>
    <t>ADET</t>
  </si>
  <si>
    <t>PANORA AVM ANKARA MMM MİGROS</t>
  </si>
  <si>
    <t>YILDIRIM BEYAZIT KAYSERİ MM</t>
  </si>
  <si>
    <t>TOPTAN KIŞLA SAMSUN</t>
  </si>
  <si>
    <t>5M TAURUS AVM ANKARA</t>
  </si>
  <si>
    <t>ESKİŞEHİR VATAN CAD.M MİGROS</t>
  </si>
  <si>
    <t>KAŞMİR CENTER ANKARA MM MİGROS</t>
  </si>
  <si>
    <t>NATA VEGA AVM ANKARA MM</t>
  </si>
  <si>
    <t>NİŞANTAŞI SAMSUN MM MİGROS</t>
  </si>
  <si>
    <t>AMASYA GÜZELYALI MM MİGROS</t>
  </si>
  <si>
    <t>MJET AYDINLIKEVLER ANKARA</t>
  </si>
  <si>
    <t>MJET ZONGULDAK ÜNİVERSİTE</t>
  </si>
  <si>
    <t>MJET ÇORUM BAHÇELİEVLER</t>
  </si>
  <si>
    <t>MJET BULVAR ESKİŞEHİR</t>
  </si>
  <si>
    <t>MJET ERTAŞ CADDESİ ESKİŞEHİR</t>
  </si>
  <si>
    <t>MJET PARK CADDESİ ANKARA</t>
  </si>
  <si>
    <t>MJET BAHABEY ÇORUM</t>
  </si>
  <si>
    <t>MJET YILDIZTEPE ESKİŞEHİR</t>
  </si>
  <si>
    <t>MJET ZONGULDAK TEPEBAŞI</t>
  </si>
  <si>
    <t>ATAKULE MACROCENTER</t>
  </si>
  <si>
    <t>set</t>
  </si>
  <si>
    <t>MOZAİK ÇARŞI ANKARA MM MİGROS</t>
  </si>
  <si>
    <t>TALAS KAYSERİ M MİGROS</t>
  </si>
  <si>
    <t>ALACAATLI ANKARA MMM MİGROS</t>
  </si>
  <si>
    <t>SAMSUN CITY MALL AVM SAMSUN MM</t>
  </si>
  <si>
    <t>ERCİYES BULVARI KAYSERİ MM</t>
  </si>
  <si>
    <t>YENİ BATI ANKARA MM MİGROS</t>
  </si>
  <si>
    <t>GELİNCİK SİNOP M MİGROS</t>
  </si>
  <si>
    <t>SÖĞÜT CADDESİ ANKARA MM MİGROS</t>
  </si>
  <si>
    <t>KAZIM KARABEKİR SAMSUN M</t>
  </si>
  <si>
    <t>BEYPAZARI ANKARA M MİGROS</t>
  </si>
  <si>
    <t>ELMADAĞ ANKARA M MİGROS</t>
  </si>
  <si>
    <t>VEGA AVM ANKARA MM MİGROS</t>
  </si>
  <si>
    <t>KİLİMLİ ZONGULDAK M MİGROS</t>
  </si>
  <si>
    <t>ZİRVE CADDESİ ANKARA</t>
  </si>
  <si>
    <t>ŞEHİT OSMAN AVCI MAH ANKARA MM</t>
  </si>
  <si>
    <t>FİLYOS ZONGULDAK M MİGROS</t>
  </si>
  <si>
    <t>YENİŞEHİR KONYA M MİGROS</t>
  </si>
  <si>
    <t>KUZEYKENT ANKARA MM MİGROS</t>
  </si>
  <si>
    <t>FATSA DOLUNAY ORDU M MİGROS</t>
  </si>
  <si>
    <t>MAMAK ANKARA MMM</t>
  </si>
  <si>
    <t>KRD EREĞLİ ÖZDEMİRPARK AVM MM</t>
  </si>
  <si>
    <t>ATATÜRK BLV EREĞLİ ZONGULDAK M</t>
  </si>
  <si>
    <t>DELİKLİTAŞ ESKİŞEHİR M MİGROS</t>
  </si>
  <si>
    <t>K. DEMİRCİOĞLU CAD.KASTAMONU M</t>
  </si>
  <si>
    <t>NATOYOLU ANKARA MM MİGROS</t>
  </si>
  <si>
    <t>ALAÇAM CADDESİ SAMSUN M MİGROS</t>
  </si>
  <si>
    <t>GALA SOKAĞI ANKARA MM</t>
  </si>
  <si>
    <t>ERDOĞDU TRABZON M MİGROS</t>
  </si>
  <si>
    <t>VEGA HILLS SAMSUN MM MİGROS</t>
  </si>
  <si>
    <t>KAVAKLAR GİRESUN M MİGROS</t>
  </si>
  <si>
    <t>KOZLU M MİGROS</t>
  </si>
  <si>
    <t>ÇARŞAMBA SAMSUN M MİGROS</t>
  </si>
  <si>
    <t>TOKİ ESKİŞEHİR M MİGROS</t>
  </si>
  <si>
    <t>5M M1 AVM KONYA</t>
  </si>
  <si>
    <t>KAYSERİ ERKİLET M MİGROS</t>
  </si>
  <si>
    <t>ZÜMRÜT KAYSERİ M MİGROS</t>
  </si>
  <si>
    <t>ZİLE TOKAT M MİGROS</t>
  </si>
  <si>
    <t>5M KULE SİTE AVM KONYA</t>
  </si>
  <si>
    <t>EREĞLİ PARK SİTE AVM MM MİGROS</t>
  </si>
  <si>
    <t>KAZIMKARABEKİR KAYSERİ M</t>
  </si>
  <si>
    <t>EFFECT MACROCENTER</t>
  </si>
  <si>
    <t>KUMRU MACROCENTER</t>
  </si>
  <si>
    <t>MJET ATATÜRK BULVARI KAYSERİ</t>
  </si>
  <si>
    <t>MJET AMASRA BARTIN</t>
  </si>
  <si>
    <t>MJET NEVŞEHİR AVANOS</t>
  </si>
  <si>
    <t>MJET ZONGULDAK EREĞLİ</t>
  </si>
  <si>
    <t>MJET ŞEHİR HASTANESİ KAYSERİ</t>
  </si>
  <si>
    <t>MJET ANKARA KAŞMİR GÖLEVLERİ</t>
  </si>
  <si>
    <t>MJET KOŞUYOLU AKŞEHİR KONYA</t>
  </si>
  <si>
    <t>MJET KARŞIYAKA TOKAT</t>
  </si>
  <si>
    <t>MJET İSTASYON CAD SİVAS</t>
  </si>
  <si>
    <t>MJET KIBRIS CADDESİ KARABÜK</t>
  </si>
  <si>
    <t>MJET GÖLBAŞI DM</t>
  </si>
  <si>
    <t>MJET TAVŞANLI TUNÇBİLEK CAD</t>
  </si>
  <si>
    <t>MJET YOMRA TRABZON</t>
  </si>
  <si>
    <t>MJET FORUM KONYA</t>
  </si>
  <si>
    <t>MJET İNKUM BARTIN</t>
  </si>
  <si>
    <t>İSTASYON KONYA M MİGROS</t>
  </si>
  <si>
    <t>EMEK MAH SAFRANBOLU M MİGROS</t>
  </si>
  <si>
    <t>ÇİFTLİK CADDESİ SAFRANBOLU M</t>
  </si>
  <si>
    <t>AHMET PAŞA CADDESİ KAYSERİ M</t>
  </si>
  <si>
    <t>ERYAMAN EVLERİ ANKARA MM</t>
  </si>
  <si>
    <t>CEPA AVM ANKARA MMM MİGROS</t>
  </si>
  <si>
    <t>SET</t>
  </si>
  <si>
    <t>SELÇUK KONYA M MİGROS</t>
  </si>
  <si>
    <t>SOLENOİD GÖVDE</t>
  </si>
  <si>
    <t>GAZ İNDİKATÖR</t>
  </si>
  <si>
    <t>CASTEL,SANHUA,OLAB</t>
  </si>
  <si>
    <t>CASTEL,DANFOSS,SANHUA</t>
  </si>
  <si>
    <t>SİSTEM TEMİZLEYİCİ</t>
  </si>
  <si>
    <t>S3</t>
  </si>
  <si>
    <t>SABIRLAR TRABZON MM MİGROS</t>
  </si>
  <si>
    <t>ETLİK SANCAK ANKARA M</t>
  </si>
  <si>
    <t>53.CADDE RİZE MM MİGROS</t>
  </si>
  <si>
    <t>RİZE</t>
  </si>
  <si>
    <t>NİKSAR TOKAT M MİGROS</t>
  </si>
  <si>
    <t>AŞKIN AMASYA M MİGROS</t>
  </si>
  <si>
    <t>OVACIK KEÇİÖREN ANKARA M</t>
  </si>
  <si>
    <t>KASTAMALL AVM MM MİGROS</t>
  </si>
  <si>
    <t>19 MAYIS BULVARI SAMSUN M</t>
  </si>
  <si>
    <t>VİTRİN MACROCENTER</t>
  </si>
  <si>
    <t>AKSARAY TAŞPAZARI MM MİGROS</t>
  </si>
  <si>
    <t>MJET ATATÜRK CAD. ESKİŞEHİR</t>
  </si>
  <si>
    <t>ROYAL PARK BAFRA SAMSUN M</t>
  </si>
  <si>
    <t>BEYŞEHİR KÖPRÜBAŞI M MİGROS</t>
  </si>
  <si>
    <t>KAVACIK KEÇİÖREN MM MİGROS</t>
  </si>
  <si>
    <t>ORMAN GM ANKARA M MİGROS</t>
  </si>
  <si>
    <t>SALI PAZARI KASTAMONU MM</t>
  </si>
  <si>
    <t>BUSE ESKİŞEHİR MM MİGROS</t>
  </si>
  <si>
    <t>BESTEKAR SOKAK ANKARA M MİGROS</t>
  </si>
  <si>
    <t>AKŞEHİR KONYA M MİGROS</t>
  </si>
  <si>
    <t>ÇAYYOLU GAZİ M MİGROS</t>
  </si>
  <si>
    <t>BEYTEPE MAH ÇANKAYA ANKARA M</t>
  </si>
  <si>
    <t>MJET ORDU ÜNYE GÖLEVİ</t>
  </si>
  <si>
    <t>MJET ESKİŞEHİR KIZILCIKLI CAD</t>
  </si>
  <si>
    <t>MJET VEYSEL KARANİ CAD. KONYA</t>
  </si>
  <si>
    <t>MJET GAZİ OSMAN PAŞA KIRŞEHİR</t>
  </si>
  <si>
    <t>MJET KIBRIS CADDESİ SAMSUN</t>
  </si>
  <si>
    <t>MJET GÖLBUCAĞI BARTIN</t>
  </si>
  <si>
    <t>MJET BAHÇELİEVLER MH ZONGULDAK</t>
  </si>
  <si>
    <t>ADLİYE KAYSERİ M MİGROS</t>
  </si>
  <si>
    <t>KUTBİLCİHAN CD. KONYA M MİGROS</t>
  </si>
  <si>
    <t>TUNA AVM KAYSERİ MM</t>
  </si>
  <si>
    <t>ATATÜRK BULVARI KIRIKKALE M</t>
  </si>
  <si>
    <t>ARTRİUM AVM ARTVİN MM MİGROS</t>
  </si>
  <si>
    <t>AKSARAY CAD KEÇİÖREN ANKARA M</t>
  </si>
  <si>
    <t>YÜKSEL YANCI CAD. SİVAS</t>
  </si>
  <si>
    <t>PURSAKLAR ANKARA M MİGROS</t>
  </si>
  <si>
    <t>SUŞEHRİ SİVAS M MİGROS</t>
  </si>
  <si>
    <t>MÜFTÜ MAH EREĞLİ ZONGULDAK M</t>
  </si>
  <si>
    <t>GÜNDOĞDU RİZE M MİGROS</t>
  </si>
  <si>
    <t>YENİKENT ANKARA M MİGROS</t>
  </si>
  <si>
    <t>ADNAN MENDERES SAMSUN M MİGROS</t>
  </si>
  <si>
    <t>ABACIBÜKÜ GİRESUN M MİGROS</t>
  </si>
  <si>
    <t>İSTİKLAL TRABZON M MİGROS</t>
  </si>
  <si>
    <t>ARDEŞEN RİZE M MİGROS</t>
  </si>
  <si>
    <t>ILGIN KONYA M MİGROS</t>
  </si>
  <si>
    <t>ŞAİR SEYFİ CD. KONYA M MİGROS</t>
  </si>
  <si>
    <t>ŞEYH ŞAMİL MAH. SİVAS M MİGROS</t>
  </si>
  <si>
    <t>YILDIZLI TRABZON M MİGROS</t>
  </si>
  <si>
    <t>KULU KONYA M MİGROS</t>
  </si>
  <si>
    <t>DEVELİ KAYSERİ M MİGROS</t>
  </si>
  <si>
    <t>KIRBAŞI CD. KONYA M MİGROS</t>
  </si>
  <si>
    <t>ARHAVİ ARTVİN M MİGROS</t>
  </si>
  <si>
    <t>ŞİRİNEVLER MAH. ORDU M MİGROS</t>
  </si>
  <si>
    <t>DENİZEVLER ATAKUM SAMSUN M</t>
  </si>
  <si>
    <t>ARAKLI TRABZON M MİGROS</t>
  </si>
  <si>
    <t>BOSTANCI TRABZON M MİGROS</t>
  </si>
  <si>
    <t>PELİTLİ TRABZON M MİGROS</t>
  </si>
  <si>
    <t>KARAPINAR KONYA M MİGROS</t>
  </si>
  <si>
    <t>SORGUN YOZGAT M MİGROS</t>
  </si>
  <si>
    <t>KEMALPAŞA ARTVİN M MİGROS</t>
  </si>
  <si>
    <t>CİHANBEYLİ KONYA M MİGROS</t>
  </si>
  <si>
    <t>FATİH SİNCAN ANKARA M MİGROS</t>
  </si>
  <si>
    <t>U.HASAN CD ETİMESGUT ANKARA M</t>
  </si>
  <si>
    <t>MENGEN BOLU M MİGROS</t>
  </si>
  <si>
    <t>AGAHEFENDİ SORGUN YOZGAT M</t>
  </si>
  <si>
    <t>OSMANCIK ÇORUM M MİGROS</t>
  </si>
  <si>
    <t>NOKTA ANKARA MACROCENTER</t>
  </si>
  <si>
    <t>MJET KARADENİZ EREĞLİ ÇARŞI</t>
  </si>
  <si>
    <t>MJET KARADENİZ EREĞLİ ADLİYE</t>
  </si>
  <si>
    <t>MJET NECİP FAZIL CAD. AMASYA</t>
  </si>
  <si>
    <t>MJET ANKARA SEZENLER</t>
  </si>
  <si>
    <t>MJET TREN GARI AVM 1 ANKARA</t>
  </si>
  <si>
    <t>MJET TREN GARI AVM 2 ANKARA</t>
  </si>
  <si>
    <t>MJET GÜVENEVLER ÇANKAYA ANKARA</t>
  </si>
  <si>
    <t>MJET KASABA MAH CİDE</t>
  </si>
  <si>
    <t>MJET ÜRGÜP</t>
  </si>
  <si>
    <t>MJET MALAZGİRT 1071 ERYAMAN</t>
  </si>
  <si>
    <t>MJET BOZANTI CD. KAYSERİ</t>
  </si>
  <si>
    <t>MJET SOĞUKSU TRABZON</t>
  </si>
  <si>
    <t>MJET ÇINARALTI TRABZON</t>
  </si>
  <si>
    <t>MJET HASTANE KAVŞAĞI TRABZON</t>
  </si>
  <si>
    <t>MJET AVNİ AKER TRABZON</t>
  </si>
  <si>
    <t>MJET KARŞIYAKA GÖLBAŞI ANKARA</t>
  </si>
  <si>
    <t>MJET KARABAYIR ESKİŞEHİR</t>
  </si>
  <si>
    <t>MJET TÜRKİSTAN CD. AMASYA</t>
  </si>
  <si>
    <t>MJET ERTUĞRULGAZİ BUL. ANKARA</t>
  </si>
  <si>
    <t>MJET NEŞET ERTAŞ CD MAMAK ANK</t>
  </si>
  <si>
    <t>MJET KALKINMA MH. TRABZON</t>
  </si>
  <si>
    <t>MEHMETÇİK CD. MERZİFON AMASYA</t>
  </si>
  <si>
    <t>YESEVİ CD. YOZGAT M MİGROS</t>
  </si>
  <si>
    <t>HAVZA SAMSUN M MİGROS</t>
  </si>
  <si>
    <t>ALPARSLAN BLV. SAMSUN M MİGROS</t>
  </si>
  <si>
    <t>KOBİEVLERİ KONYA M MİGROS</t>
  </si>
  <si>
    <t>TAŞPINAR MAH. İNCEK ANKARA M</t>
  </si>
  <si>
    <t>ÇUMRA KONYA M MİGROS</t>
  </si>
  <si>
    <t>TOSYA KASTAMONU M MİGROS</t>
  </si>
  <si>
    <t>TAŞKÖPRÜ KASTAMONU M MİGROS</t>
  </si>
  <si>
    <t>KIZILCAHAMAM ANKARA M MİGROS</t>
  </si>
  <si>
    <t>YERKÖY YOZGAT M MİGROS</t>
  </si>
  <si>
    <t>GEREDE BOLU M MİGROS</t>
  </si>
  <si>
    <t>AŞIK VEYSEL BLV SİVAS M MİGROS</t>
  </si>
  <si>
    <t>ATATÜRK CD SEYDİŞEHİR KONYA</t>
  </si>
  <si>
    <t>ZAFER TEPE KÜTAHYA M MİGROS</t>
  </si>
  <si>
    <t>MJET KONYA KULU KEMALİYE</t>
  </si>
  <si>
    <t>G.O.PAŞA ANKARA MM MİGROS</t>
  </si>
  <si>
    <t>SERVİS REYONLU M</t>
  </si>
  <si>
    <t>KÜÇÜKESAT ANKARA M MİGROS</t>
  </si>
  <si>
    <t>BALGAT ANKARA MM MİGROS</t>
  </si>
  <si>
    <t>KORU SİTESİ ANKARA MMM MİGROS</t>
  </si>
  <si>
    <t>5M ANKARA</t>
  </si>
  <si>
    <t>BOLU MM MİGROS</t>
  </si>
  <si>
    <t>KEÇİÖREN MM MİGROS</t>
  </si>
  <si>
    <t>ANSERA MM MİGROS</t>
  </si>
  <si>
    <t>YENİMAHALLE ANKARA MM MİGROS</t>
  </si>
  <si>
    <t>SELF SERVİS M</t>
  </si>
  <si>
    <t>YILDIZ ANKARA M MİGROS</t>
  </si>
  <si>
    <t>ORDU MMM MİGROS</t>
  </si>
  <si>
    <t>TRABZON MMM MİGROS</t>
  </si>
  <si>
    <t>İNCEK MMM MİGROS</t>
  </si>
  <si>
    <t>GÖKSUPARK MMM MİGROS</t>
  </si>
  <si>
    <t>KASTAMONU MM MİGROS</t>
  </si>
  <si>
    <t>BEYSUPARK MMM MİGROS</t>
  </si>
  <si>
    <t>ATAKUM SAMSUN MM MİGROS</t>
  </si>
  <si>
    <t>ZİRVEKENT MMM MİGROS</t>
  </si>
  <si>
    <t>TRABZON FORUM MMM MİGROS</t>
  </si>
  <si>
    <t>KONUTKENT ANKARA M MİGROS</t>
  </si>
  <si>
    <t>ZONGULDAK MİGROS MM</t>
  </si>
  <si>
    <t>ÇUKURAMBAR M MİGROS</t>
  </si>
  <si>
    <t>ÜRGÜP M MIGROS</t>
  </si>
  <si>
    <t>AKSARAY MM MIGROS</t>
  </si>
  <si>
    <t>GİRESUN G-CİTY MM MIGROS</t>
  </si>
  <si>
    <t>KÜTAHYA MM MİGROS</t>
  </si>
  <si>
    <t>BAHÇELİEVLER 7. CADDE ANKARA M</t>
  </si>
  <si>
    <t>BESA KARİNA MM MİGROS</t>
  </si>
  <si>
    <t>TOKAT ERBAA M MIGROS</t>
  </si>
  <si>
    <t>BAFRA MM MIGROS</t>
  </si>
  <si>
    <t>KAYSERİ PARK MM MİGROS</t>
  </si>
  <si>
    <t>ANKARA 100.YIL MM MIGROS</t>
  </si>
  <si>
    <t>ANKARA ORAN M MIGROS</t>
  </si>
  <si>
    <t>ANKARA KOLEJ M MIGROS</t>
  </si>
  <si>
    <t>MJET HOŞDERE ANKARA</t>
  </si>
  <si>
    <t>5M ERYAMAN ANKARA</t>
  </si>
  <si>
    <t>MJET ANGORA ANKARA</t>
  </si>
  <si>
    <t>ANITTEPE GMK M MİGROS</t>
  </si>
  <si>
    <t>SUBAYEVLERİ ANKARA M MİGROS</t>
  </si>
  <si>
    <t>POLATLI ANKARA M MİGROS</t>
  </si>
  <si>
    <t>OUTLET PARK KÜTAHYA MMM MİGROS</t>
  </si>
  <si>
    <t>KARŞIYAKA ORDU MM MİGROS</t>
  </si>
  <si>
    <t>METROKENT ANKARA M MİGROS</t>
  </si>
  <si>
    <t>2 EYLÜL ESKİŞEHİR MM MİGROS</t>
  </si>
  <si>
    <t>İÇ CEBECİ ANKARA M MİGROS</t>
  </si>
  <si>
    <t>EMEK ANKARA M MİGROS</t>
  </si>
  <si>
    <t>KARADENİZ EREĞLİ MMM MİGROS</t>
  </si>
  <si>
    <t>ÇAYYOLU ANKARA MMM MİGROS</t>
  </si>
  <si>
    <t>CEBECİ ANKARA M MİGROS</t>
  </si>
  <si>
    <t>KURTULUŞ ANKARA M MİGROS</t>
  </si>
  <si>
    <t>ÇORUM MM MİGROS</t>
  </si>
  <si>
    <t>MERAM KONYA MM MİGROS</t>
  </si>
  <si>
    <t>TÜRK - İŞ SAMSUN MMM MİGROS</t>
  </si>
  <si>
    <t>VİŞNELİK ESKİŞEHİR MMM MİGROS</t>
  </si>
  <si>
    <t>TEPEBAŞI ESKİŞEHİR M MİGROS</t>
  </si>
  <si>
    <t>ESPARK ESKİŞEHİR MMM MİGROS</t>
  </si>
  <si>
    <t>OSMANGAZİ ESKİŞEHİR M MİGROS</t>
  </si>
  <si>
    <t>BECİKOĞLU AVM BOLU MM MİGROS</t>
  </si>
  <si>
    <t>5M FORUM KAYSERİ</t>
  </si>
  <si>
    <t>DİKMEN CADDE MM MİGROS</t>
  </si>
  <si>
    <t>ARTVİN M MİGROS</t>
  </si>
  <si>
    <t>TEPE PRIME ANKARA M MİGROS</t>
  </si>
  <si>
    <t>TOPTAN MALTEPE ANKARA</t>
  </si>
  <si>
    <t>TOPTAN SATIŞ</t>
  </si>
  <si>
    <t>ARTVİN HOPA M MİGROS</t>
  </si>
  <si>
    <t>TAVŞANLI KÜTAHYA M MİGROS</t>
  </si>
  <si>
    <t>ÇAYCUMA ZONGULDAK M MİGROS</t>
  </si>
  <si>
    <t>BULVAR SAMSUN M MİGROS</t>
  </si>
  <si>
    <t>ATAKENT SAMSUN M MİGROS</t>
  </si>
  <si>
    <t>MJET BÜYÜKESAT ANKARA</t>
  </si>
  <si>
    <t>FATSA CİTY AVM ORDU MM MİGROS</t>
  </si>
  <si>
    <t>ÜNYE ORDU MM MİGROS</t>
  </si>
  <si>
    <t>MEHMET OSMAN CADDE ESKİŞEHİR M</t>
  </si>
  <si>
    <t>MJET KONYA MİLLET</t>
  </si>
  <si>
    <t>MJET SAMSUN 56`LAR</t>
  </si>
  <si>
    <t>MACROCENTER</t>
  </si>
  <si>
    <t>YILDIZEVLER M MİGROS</t>
  </si>
  <si>
    <t>SÖĞÜTLÜ TRABZON MM MİGROS</t>
  </si>
  <si>
    <t>DURUŞEHİR MM MİGROS</t>
  </si>
  <si>
    <t>BATIKENT ESKİŞEHİR MMM MİGROS</t>
  </si>
  <si>
    <t>MJET MELİKGAZİ KAYSERİ</t>
  </si>
  <si>
    <t>MJET KIRIKKALE ÜNİVERSİTE</t>
  </si>
  <si>
    <t>MJET SAMSUN GAZİ</t>
  </si>
  <si>
    <t>NOVADA TOKAT MMM MİGROS</t>
  </si>
  <si>
    <t>KIRIKKALE PODİUM MM MİGROS</t>
  </si>
  <si>
    <t>MJET BEYSUKENT ANKARA</t>
  </si>
  <si>
    <t>MJET ŞİRİNTEPE ESKİŞEHİR</t>
  </si>
  <si>
    <t>MJET EREĞLİ KONYA</t>
  </si>
  <si>
    <t>MJET ANKARA FARABİ</t>
  </si>
  <si>
    <t>MJET ANKARA SOKULLU</t>
  </si>
  <si>
    <t>KIRŞEHİR MM MİGROS</t>
  </si>
  <si>
    <t>MJET ARTVİN SARP</t>
  </si>
  <si>
    <t>ŞANA TRABZON M MİGROS</t>
  </si>
  <si>
    <t>BİNEVLER ÇORUM M MİGROS</t>
  </si>
  <si>
    <t>KULEPARK KARABÜK MM MİGROS</t>
  </si>
  <si>
    <t>MJET SAMSUN LİMAN</t>
  </si>
  <si>
    <t>MJET SAMSUN TOPTEPE</t>
  </si>
  <si>
    <t>İNCEK BULVAR MM MİGROS</t>
  </si>
  <si>
    <t>MJET SAMSUN LİSE CADDESİ</t>
  </si>
  <si>
    <t>MJET KAPLANLI ESKİŞEHİR</t>
  </si>
  <si>
    <t>MJET ANKARA EMEK 4.CADDE</t>
  </si>
  <si>
    <t>MJET ORDU ÜNYE MEYDAN</t>
  </si>
  <si>
    <t>NOVALAND OUTLET KONYA MMM</t>
  </si>
  <si>
    <t>GİRESUN SAHİL MM MİGROS</t>
  </si>
  <si>
    <t>MJET KONYA NOVALAND OUTLET</t>
  </si>
  <si>
    <t>ARSİA ANKARA M MİGROS</t>
  </si>
  <si>
    <t>ZİYA GÖKALP ANKARA M MİGROS</t>
  </si>
  <si>
    <t>ÇANKAYA ESKİŞEHİR MM MİGROS</t>
  </si>
  <si>
    <t>BULANCAK GİRESUN M MİGROS</t>
  </si>
  <si>
    <t>IHLAMURKENT ESKİŞEHİR M MİGROS</t>
  </si>
  <si>
    <t>PODİUM AVM ANKARA MMM MİGROS</t>
  </si>
  <si>
    <t>14 BURDA AVM BOLU MM MİGROS</t>
  </si>
  <si>
    <t>PANORAMA ESKİŞEHİR M MİGROS</t>
  </si>
  <si>
    <t>MJET SAMSUN İSMET İNÖNÜ</t>
  </si>
  <si>
    <t>YAŞAMKENT ANKARA MM MİGROS</t>
  </si>
  <si>
    <t>GÖLBAŞI ANKARA MMM MİGROS</t>
  </si>
  <si>
    <t>MJET 2000 EVLER NEVŞEHİR</t>
  </si>
  <si>
    <t>ETAP ERYAMAN M MİGROS</t>
  </si>
  <si>
    <t>ALTIN ORAN ANKARA MM MİGROS</t>
  </si>
  <si>
    <t>ENVER BAHADIR CAD. SİNOP M</t>
  </si>
  <si>
    <t>AŞAĞI AYRANCI ANKARA MM MİGROS</t>
  </si>
  <si>
    <t>MJET TIP FAKÜLTESİ ESKİŞEHİR</t>
  </si>
  <si>
    <t>AKYAZI ORDU MM MİGROS</t>
  </si>
  <si>
    <t>KUZEYKENT KASTAMONU M MİGROS</t>
  </si>
  <si>
    <t>CENGİZ TOPEL ESKİŞEHİR M</t>
  </si>
  <si>
    <t>MJET MUAMMER AKSOY CAD. ANKARA</t>
  </si>
  <si>
    <t>SİVAS PARK MM MİGROS</t>
  </si>
  <si>
    <t>MJET KAYABAŞI KIRŞEHİR</t>
  </si>
  <si>
    <t>MJET YAKUP SATAR CAD ESKİŞEHİR</t>
  </si>
  <si>
    <t>SİVAS BULVARI KAYSERİ MM</t>
  </si>
  <si>
    <t>MJET YARENLER AKŞEHİR KONYA</t>
  </si>
  <si>
    <t>ETİ CADDESİ ESKİŞEHİR M MİGROS</t>
  </si>
  <si>
    <t>SEYDİŞEHİR KONYA M MİGROS</t>
  </si>
  <si>
    <t>KAŞÜSTÜ TRABZON MM MİGROS</t>
  </si>
  <si>
    <t>NOVADA AVM YOZGAT MM MİGROS</t>
  </si>
  <si>
    <t>MJET GERZE SİNOP</t>
  </si>
  <si>
    <t>BEYŞEHİR KONYA M MİGROS</t>
  </si>
  <si>
    <t>AHL PARK AVM ÇORUM MMM MİGROS</t>
  </si>
  <si>
    <t>BAĞLICA BULVARI ANKARA MM</t>
  </si>
  <si>
    <t>YAKA CADDESİ MERAM KONYA M</t>
  </si>
  <si>
    <t>SAFRANBOLU KARABÜK MM MİGROS</t>
  </si>
  <si>
    <t>KULE EVO ANKARA MM MİGROS</t>
  </si>
  <si>
    <t>K.EREĞLİ GÖZTEPE ZONGULDAK M</t>
  </si>
  <si>
    <t>GESİ CADDESİ KAYSERİ M MİGROS</t>
  </si>
  <si>
    <t>5M ANTARES AVM ANKARA</t>
  </si>
  <si>
    <t>GÜRE GİRESUN M MİGROS</t>
  </si>
  <si>
    <t>MJET LİMAN SİNOP</t>
  </si>
  <si>
    <t>MJET SEYDİŞEHİR KONYA</t>
  </si>
  <si>
    <t>WESTA LİFE AVM ZONGULDAK MM</t>
  </si>
  <si>
    <t>5M FORUM AVM ANKARA</t>
  </si>
  <si>
    <t>ATLANTİS AVM ANKARA MMM MİGROS</t>
  </si>
  <si>
    <t>ARMADA AVM ANKARA MM</t>
  </si>
  <si>
    <t>SERA AVM KÜTAHYA MMM MİGROS</t>
  </si>
  <si>
    <t>KIRMIZITOPRAK ESKİŞEHİR M</t>
  </si>
  <si>
    <t>İNCEK LOFT ANKARA M MİGROS</t>
  </si>
  <si>
    <t>YAPRACIK ANKARA MM MİGROS</t>
  </si>
  <si>
    <t>METROMALL AVM ANKARA MMM</t>
  </si>
  <si>
    <t>PİAZZA AVM SAMSUN MMM MİGROS</t>
  </si>
  <si>
    <t>YENİMAHALLE SAMSUN MM MİGROS</t>
  </si>
  <si>
    <t>SELÇUKER CENTER KONYA MM</t>
  </si>
  <si>
    <t>MJET SAMSUN KALKANCI</t>
  </si>
  <si>
    <t>MJET MİMARSİNAN SAMSUN</t>
  </si>
  <si>
    <t>MJET YENİ MAH.AKŞEHİR KONYA</t>
  </si>
  <si>
    <t>MJET M.AKİF ERSOY CAD. KAYSERİ</t>
  </si>
  <si>
    <t>BİRLİK MAH. ANKARA M MİGROS</t>
  </si>
  <si>
    <t>YENİ MAHALLE ASIM BEY CAD M</t>
  </si>
  <si>
    <t>BAHÇELİEVLER MAH. KAYSERİ M</t>
  </si>
  <si>
    <t>İLDEM CUMHURİYET MAH KAYSERİ M</t>
  </si>
  <si>
    <t>5M BİLKENT CENTER ANKARA</t>
  </si>
  <si>
    <t>MİMARSİNAN MAH. KAYSERİ MM</t>
  </si>
  <si>
    <t>MİX KAYSERİ MM MİGROS</t>
  </si>
  <si>
    <t>MEVLANA MAH. KAYSERİ M MİGROS</t>
  </si>
  <si>
    <t>GEDİKKAYA GİRESUN MM MİGROS</t>
  </si>
  <si>
    <t>CİDE KASTAMONU M MİGROS</t>
  </si>
  <si>
    <t>SANTRA ANKARA MMM MİGROS</t>
  </si>
  <si>
    <t>ŞİMAL AVM RİZE MM MİGROS</t>
  </si>
  <si>
    <t>TOPTAN SİVAS</t>
  </si>
  <si>
    <t>TEMA KONYA M MİGROS</t>
  </si>
  <si>
    <t>ÇIRAK DERESİ GİRESUN M MİGROS</t>
  </si>
  <si>
    <t>SPORKENT KÜTAHYA M MİGROS</t>
  </si>
  <si>
    <t>GÖRELE GİRESUN M MİGROS</t>
  </si>
  <si>
    <t>MERKEZ BOZTEPE TRABZON M</t>
  </si>
  <si>
    <t>FATİH MH.TRABZON M MİGROS</t>
  </si>
  <si>
    <t>MJET PAZARKAPI MH. TRABZON</t>
  </si>
  <si>
    <t>ŞARKIŞLA SİVAS M MİGROS</t>
  </si>
  <si>
    <t>SULUOVA AMASYA M MİGROS</t>
  </si>
  <si>
    <t>ÇUKURÇAYIR TRABZON M MİGROS</t>
  </si>
  <si>
    <t>BAŞAĞAÇ BEYPAZARI ANKARA M</t>
  </si>
  <si>
    <t>ÇUBUK ANKARA M MİGROS</t>
  </si>
  <si>
    <t>BEYHEKİM KONYA M MİGROS</t>
  </si>
  <si>
    <t>BAĞLICA GÜZELKÖY ANKARA M</t>
  </si>
  <si>
    <t>BEŞİRLİ TRABZON MM MİGROS</t>
  </si>
  <si>
    <t>ALPAGUT BOLU MM MİGROS</t>
  </si>
  <si>
    <t>MJET ÜNİVERSİTE SİVAS</t>
  </si>
  <si>
    <t>TEKKEKÖY SAMSUN M MİGROS</t>
  </si>
  <si>
    <t>MJET MURATLI CD YOMRA TRABZON</t>
  </si>
  <si>
    <t>MJET B.ECEVİT ÜNİ ZONGULDAK</t>
  </si>
  <si>
    <t>ŞEREFLİKOÇHİSAR ANKARA M</t>
  </si>
  <si>
    <t>YAKAKENT SAMSUN M MİGROS</t>
  </si>
  <si>
    <t>PARK SİTE AKSARAY MM MİGROS</t>
  </si>
  <si>
    <t>YAHYALI KAYSERİ M MİGROS</t>
  </si>
  <si>
    <t>MJET JANDARMA TALAS KAYSERİ</t>
  </si>
  <si>
    <t>MJET ROYAL SUIT KAYSERI</t>
  </si>
  <si>
    <t>DODURGA MAH. ANKARA M</t>
  </si>
  <si>
    <t>ÇELTİK KONYA M MİGROS</t>
  </si>
  <si>
    <t>6. ETAP TALAS KAYSERİ M</t>
  </si>
  <si>
    <t>PLEVNE MAMAK ANKARA M MİGROS</t>
  </si>
  <si>
    <t>BEYAZIT MH. AKYURT ANKARA M</t>
  </si>
  <si>
    <t>MJET ÇAYKARA TRABZON</t>
  </si>
  <si>
    <t>KÖRFEZ MH. ATAKUM SAMSUN M</t>
  </si>
  <si>
    <t>ADNAN KAHVECİ BLV. TRABZON MM</t>
  </si>
  <si>
    <t>F. ÇELİK ALTINDAĞ ANKARA M</t>
  </si>
  <si>
    <t>BAHÇELİEVLER ORDU M MİGROS</t>
  </si>
  <si>
    <t>CUMHURİYET MEYDANI SAMSUN M</t>
  </si>
  <si>
    <t>DEĞİRMENBAŞI ÇARŞAMBA SAMSUN M</t>
  </si>
  <si>
    <t>MJET SİNCAN BELEDİYE ANKARA</t>
  </si>
  <si>
    <t>MJET HASANOĞLAN ELMADAĞ ANKARA</t>
  </si>
  <si>
    <t>MJET KOZAKLI NEVŞEHİR</t>
  </si>
  <si>
    <t>ALTIAĞAÇ TOKİ MAMAK ANKARA M</t>
  </si>
  <si>
    <t>M ANADOLU</t>
  </si>
  <si>
    <t>FATİH SİTESİ ZONGULDAK M</t>
  </si>
  <si>
    <t>SELİN SK. SİNCAN ANKARA MM</t>
  </si>
  <si>
    <t>MJET CEVHER DUDAYEV NEVŞEHİR</t>
  </si>
  <si>
    <t>KAHRAMANKAZAN ANKARA M</t>
  </si>
  <si>
    <t>MEHMET AKİF AKSARAY M MİGROS</t>
  </si>
  <si>
    <t>ALTUNTAŞ CAD. ARAKLI TRABZON M</t>
  </si>
  <si>
    <t>FEVZİ ÇAKMAK KAYSERİ MM MİGROS</t>
  </si>
  <si>
    <t>TÜRKALP ÇUKURAMBAR ANKARA MM</t>
  </si>
  <si>
    <t>MJET SEYRANBAĞLARI ANKARA</t>
  </si>
  <si>
    <t>MJET S. MEHMET PAŞA CD ANKARA</t>
  </si>
  <si>
    <t>PRESTİJ İNCEK ANKARA M MİGROS</t>
  </si>
  <si>
    <t>MEHTAP CD KALKANCI SAMSUN M</t>
  </si>
  <si>
    <t>YAVUZ SULTAN SELİM NEVŞEHİR M</t>
  </si>
  <si>
    <t>MJET BORSA CD ESKİŞEHİR</t>
  </si>
  <si>
    <t>MJET BASIN ŞEHİTLERİ ESKİŞEHİR</t>
  </si>
  <si>
    <t>NALLIHAN ANKARA M MİGROS</t>
  </si>
  <si>
    <t>M.SİNAN MH PURSAKLAR ANKARA MM</t>
  </si>
  <si>
    <t>TURHAL TOKAT M MİGROS</t>
  </si>
  <si>
    <t>MJET AYVALI MAH. ETLİK ANKARA</t>
  </si>
  <si>
    <t>MJET STAD SK İNEBOLU KASTAMONU</t>
  </si>
  <si>
    <t>G.O.P TOKAT MM MİGROS</t>
  </si>
  <si>
    <t>YİMPAŞ AVM YOZGAT MM MİGROS</t>
  </si>
  <si>
    <t>MJET MALTEPE MAH. ANKARA</t>
  </si>
  <si>
    <t>BOĞAZLIYAN YOZGAT M MİGROS</t>
  </si>
  <si>
    <t>ZARA SİVAS M MİGROS</t>
  </si>
  <si>
    <t>BAĞDAT CAD.KAYSERİ M MİGROS</t>
  </si>
  <si>
    <t>HAYMANA ANKARA M MİGROS</t>
  </si>
  <si>
    <t>PARK MOGAN GÖLBAŞI ANKARA M</t>
  </si>
  <si>
    <t>ŞEKER MH ETİMESGUT ANKARA M</t>
  </si>
  <si>
    <t>NİHATBEY CADDESİ GİRESUN M</t>
  </si>
  <si>
    <t>BAFRA ADLİYE SAMSUN M MİGROS</t>
  </si>
  <si>
    <t>MJET FİLYOS SAHİL ZONGULDAK</t>
  </si>
  <si>
    <t>MJET AKÇAY KIZILCAHAM ANK</t>
  </si>
  <si>
    <t>MJET ŞENTEPE POLATLI ANKARA</t>
  </si>
  <si>
    <t>TOKAT MMM MİGROS</t>
  </si>
  <si>
    <t>NEVŞEHİR MM MİGROS</t>
  </si>
  <si>
    <t>MJET SIHHİYE MEYDANI ESKİŞEHİR</t>
  </si>
  <si>
    <t>TOPTAN TRABZON</t>
  </si>
  <si>
    <t>CUMHURİYET ORDU M MİGROS</t>
  </si>
  <si>
    <t>PİRÖMER EREĞLİ MM MİGROS</t>
  </si>
  <si>
    <t>MJET SİNOP ADA</t>
  </si>
  <si>
    <t>SİNPAŞ EGE VADİSİ M MİGROS</t>
  </si>
  <si>
    <t>HÜRRİYET MAH. KAYSERİ M MİGROS</t>
  </si>
  <si>
    <t>ÇEKEREK YOZGAT M MİGROS</t>
  </si>
  <si>
    <t>SİMAV KÜTAHYA M MİGROS</t>
  </si>
  <si>
    <t>MJET FARUK ŞÜKRÜ CD. ESKİŞEHİR</t>
  </si>
  <si>
    <t>BÜNYAN KAYSERİ M MİGROS</t>
  </si>
  <si>
    <t>BELEDİYE MEYDAN BOLU MM MİGROS</t>
  </si>
  <si>
    <t>MJET DEVELİ HASTANE KAYSERİ</t>
  </si>
  <si>
    <t>HACI HASAN MERZİFON AMASYA MM</t>
  </si>
  <si>
    <t>FEVZİ ÇAKMAK MH TURHAL TOKAT M</t>
  </si>
  <si>
    <t>EREK CAD. ERBAA TOKAT MM</t>
  </si>
  <si>
    <t>İZZET ÖZİLHAN TOMARZA KAYS M</t>
  </si>
  <si>
    <t>BULVAR ANGORA ANKARA MM</t>
  </si>
  <si>
    <t>TAŞOVA AMASYA M MİGROS</t>
  </si>
  <si>
    <t>İNCEK ATABİLGE ANKARA MM</t>
  </si>
  <si>
    <t>ORTAKÖY AKSARAY M</t>
  </si>
  <si>
    <t>CADDE 448 BİRLİK MH ANKARA M</t>
  </si>
  <si>
    <t>YAN YOL ATAKUM SAMSUN M</t>
  </si>
  <si>
    <t>MJET WEST PANORAMA KONYA</t>
  </si>
  <si>
    <t>MJET 5000 EVLER KARABÜK</t>
  </si>
  <si>
    <t>MJET DEBBOY GİRESUN</t>
  </si>
  <si>
    <t>MJET ALANÖNÜ MH ESKİŞEHİR</t>
  </si>
  <si>
    <t>MJET PEHLİVANLI BLV KIRIKKALE</t>
  </si>
  <si>
    <t>MJET SAKARYA CD ESKİŞEHİR</t>
  </si>
  <si>
    <t>ENNTEPE AVM KONYA MM MİGROS</t>
  </si>
  <si>
    <t>MJET ANIT PARK ESKİŞEHİR</t>
  </si>
  <si>
    <t>ALİ AKSU EREĞLİ KONYA M MİGROS</t>
  </si>
  <si>
    <t>AHİ GÜVEN KIRŞEHİR M MİGROS</t>
  </si>
  <si>
    <t>ÇARŞIBAŞI GERZE SİNOP M MİGROS</t>
  </si>
  <si>
    <t>TURGUT ÖZAL CADDESİ KONYA M</t>
  </si>
  <si>
    <t>GÜMÜŞHACIKÖY AMASYA M MİGROS</t>
  </si>
  <si>
    <t>MJET SANCAK KONYA</t>
  </si>
  <si>
    <t>ZERDALİ BOLU M MİGROS</t>
  </si>
  <si>
    <t>ATAKENT KÜTAHYA MM MİGROS</t>
  </si>
  <si>
    <t>LOTUS KOZLU ZONGULDAK M MİGROS</t>
  </si>
  <si>
    <t>ODC CENTER ANKARA M MİGROS</t>
  </si>
  <si>
    <t>HACIBEKTAŞ NEVŞEHİR M MİGROS</t>
  </si>
  <si>
    <t>ÇAYBAĞLARI KAYSERİ M MİGROS</t>
  </si>
  <si>
    <t>SEYRANTEPE MAH. KIRIKKALE</t>
  </si>
  <si>
    <t>BOSNA SİNCAN ANKARA MM</t>
  </si>
  <si>
    <t>MJET PARK ORAN ANKARA</t>
  </si>
  <si>
    <t>ŞAFAK CD SELÇUKLU KONYA M</t>
  </si>
  <si>
    <t>HASTANE AKSARAY M MİGROS</t>
  </si>
  <si>
    <t>MJET AŞAĞI ÖVEÇLER ANKARA</t>
  </si>
  <si>
    <t>MERKEZ ALAÇAM SAMSUN M MİGROS</t>
  </si>
  <si>
    <t>GÜNEŞEVLER MH. ALTINDAĞ ANK.MM</t>
  </si>
  <si>
    <t>MJET BOSTANCILI SİNOP</t>
  </si>
  <si>
    <t>MJET EYNESİL GİRESUN</t>
  </si>
  <si>
    <t>TERME SAMSUN M MİGROS</t>
  </si>
  <si>
    <t>BORÇKA ARTVİN M MİGROS</t>
  </si>
  <si>
    <t>MJET 19 MAYIS MH GERZE SİNOP</t>
  </si>
  <si>
    <t>VALİLİK BARTIN M MİGROS</t>
  </si>
  <si>
    <t>ÇAYDÜZÜ BARTIN M MİGROS</t>
  </si>
  <si>
    <t>MJET A.MENDERES AKŞEHİR KONYA</t>
  </si>
  <si>
    <t>MJET BÖLÜCEK MAH KÜTAHYA</t>
  </si>
  <si>
    <t>MJET İ.GASPIRALI İNCEK ANKARA</t>
  </si>
  <si>
    <t>EŞREF HOCA CD ÇORUM M</t>
  </si>
  <si>
    <t>AKDAĞMADENİ YOZGAT M MİGROS</t>
  </si>
  <si>
    <t>S4</t>
  </si>
  <si>
    <t>5M  FORUM KAPADOKYA NEVŞEHİR</t>
  </si>
  <si>
    <t>HASTANE AMASYA  M MİGROS</t>
  </si>
  <si>
    <t>KAYMAKLI  MH.TRABZON M MİGROS</t>
  </si>
  <si>
    <t>YUKARI DİKMEN MAH. ANKARA MM</t>
  </si>
  <si>
    <t>5M VELUX AVM ANKARA</t>
  </si>
  <si>
    <t>MJET ÇARŞI RİZE</t>
  </si>
  <si>
    <t>TOPTAN ERCİYES KAYSERİ</t>
  </si>
  <si>
    <t>YAZIR KONYA M MİGROS</t>
  </si>
  <si>
    <t>GÖDENE KONYA M MİGROS</t>
  </si>
  <si>
    <t>MJET KONYA KERKÜK CADDESİ</t>
  </si>
  <si>
    <t>FETİH CADDESİ KONYA M MİGROS</t>
  </si>
  <si>
    <t>MESAJ CAD. KONYA M MİGROS</t>
  </si>
  <si>
    <t>MOGAN GÖLBAŞI ANK MACROCENTER</t>
  </si>
  <si>
    <t>MJET ATATÜRK BV SULUOVA AMASYA</t>
  </si>
  <si>
    <t>MJET DİVRİĞİ SİVAS</t>
  </si>
  <si>
    <t>VEZİRKÖPRÜ SAMSUN M MİGROS</t>
  </si>
  <si>
    <t>KADİR HAS KONGRE MRK KAYSERİ</t>
  </si>
  <si>
    <t>MJET MUSAZADE MH ARHAVİ ARTVİN</t>
  </si>
  <si>
    <t>AHİ MESUT MH. ANKARA M MİGROS</t>
  </si>
  <si>
    <t>YAKUT MH KAYSERİ M MİGROS</t>
  </si>
  <si>
    <t>YENİDOĞAN MH. KAYSERİ M</t>
  </si>
  <si>
    <t>ÇAYYOLU MH. KÖYİÇİ ANKARA M</t>
  </si>
  <si>
    <t>GÖKSU MH. ERYAMAN ANKARA</t>
  </si>
  <si>
    <t>ANAYURT TALAS KAYSERİ M MİGROS</t>
  </si>
  <si>
    <t>GEREKLİ SOKAK ESKİŞEHİR M</t>
  </si>
  <si>
    <t>MJET ALMUS TOKAT</t>
  </si>
  <si>
    <t>MJET SEYYAH PARK ÇORUM</t>
  </si>
  <si>
    <t>MJET ŞEHİTLİK MH POLATLI ANK</t>
  </si>
  <si>
    <t>MJET BÜLBÜLDERESİ CD ANKARA</t>
  </si>
  <si>
    <t>MJET YEŞİL MAHALLE KAYSERİ</t>
  </si>
  <si>
    <t>VADİŞEHİR MH ESKİŞEHİR MM</t>
  </si>
  <si>
    <t>MJET ULUOYMAK MH GEDİZ KÜTAHYA</t>
  </si>
  <si>
    <t>HASTANE GÖLBAŞI ANKARA M</t>
  </si>
  <si>
    <t>AYAŞ ANKARA M MİGROS</t>
  </si>
  <si>
    <t>MJET UÇHİSAR NEVŞEHİR</t>
  </si>
  <si>
    <t>GAFFAR OKKAN ATAKUM SAMSUN M</t>
  </si>
  <si>
    <t>TEYYAREDÜZÜ MH GİRESUN M</t>
  </si>
  <si>
    <t>MJET KARŞIYAKA MH CANİK SAMSUN</t>
  </si>
  <si>
    <t>MJET TRABZON YAYLACIK</t>
  </si>
  <si>
    <t>MJET AKÇAABAT TRABZON</t>
  </si>
  <si>
    <t>MJET ADATEPE TRABZON</t>
  </si>
  <si>
    <t>MJET YAVUZ SELİM BLV TRABZON</t>
  </si>
  <si>
    <t>MJET SÜRMENE TRABZON</t>
  </si>
  <si>
    <t>MJET M. YAZICIOĞLU BOLU</t>
  </si>
  <si>
    <t>MJET AKTAŞ BOLU</t>
  </si>
  <si>
    <t>1923 BEYTEPE ANKARA M MİGROS</t>
  </si>
  <si>
    <t>MJET KARÇİÇEĞİ SK GÖLBAŞI ANK</t>
  </si>
  <si>
    <t>MJET GAFFAR OKKAN BLV KAYSERİ</t>
  </si>
  <si>
    <t>MJET DEVRENT CD ÜNYE ORDU</t>
  </si>
  <si>
    <t>DÜZKÖY KAVŞAĞI TRABZON M</t>
  </si>
  <si>
    <t>ÇAYIRHAN MH NALLIHAN ANKARA M</t>
  </si>
  <si>
    <t>BELEDİYE KAHRAMANKAZAN ANK MM</t>
  </si>
  <si>
    <t>MJET TANJANT TRABZON</t>
  </si>
  <si>
    <t>SAĞLIK MAH BOLU M MİGROS</t>
  </si>
  <si>
    <t>MJET HÜRRİYET CD TEMELLİ ANK</t>
  </si>
  <si>
    <t>MJET 24 ŞUBAT TRABZON</t>
  </si>
  <si>
    <t>STADYUM KONYA M MİGROS</t>
  </si>
  <si>
    <t>ATATÜRK CD TOKAT M MİGROS</t>
  </si>
  <si>
    <t>SÖĞÜTÖNÜ ESKİŞEHİR MM MİGROS</t>
  </si>
  <si>
    <t>MJET CANİK KONAKLARI SAMSUN</t>
  </si>
  <si>
    <t>MJET KAMALI SAMSUN</t>
  </si>
  <si>
    <t>29 EKİM YENİKENT ANK M MİGROS</t>
  </si>
  <si>
    <t>İNCEK CADDE ANKARA M MİGROS</t>
  </si>
  <si>
    <t>MJET 30 AĞUSTOS MH KAYSERİ</t>
  </si>
  <si>
    <t>TOKİ KAYSERİ M MİGROS</t>
  </si>
  <si>
    <t>ÇİFTELER ESKİŞEHİR M MİGROS</t>
  </si>
  <si>
    <t>MJET MATBACILAR SİTESİ KAYSERİ</t>
  </si>
  <si>
    <t>MJET 75. YIL MH KARABÜK</t>
  </si>
  <si>
    <t>S.SÜLEYMAN BLV ANK MM MİGROS</t>
  </si>
  <si>
    <t>AKTOWERS TRABZON M MİGROS</t>
  </si>
  <si>
    <t>TOROS CD EREĞLİ KONYA M MİGROS</t>
  </si>
  <si>
    <t>MJET AYANCIK SİNOP</t>
  </si>
  <si>
    <t>MJET İSTİKLAL MH ATAKUM SAMSUN</t>
  </si>
  <si>
    <t>MJET ÇARŞI İÇİ CD MAMAK ANK</t>
  </si>
  <si>
    <t>OF TRABZON M MİGROS</t>
  </si>
  <si>
    <t>SAHİLYOLU RİZE M MİGROS</t>
  </si>
  <si>
    <t>ŞEHİT M. SAFİTÜRK ANK M MİGROS</t>
  </si>
  <si>
    <t>ÇATALZEYTİN KASTAMONU M MİGROS</t>
  </si>
  <si>
    <t>MJET CUMHURİYET ŞARKIŞLA SİVAS</t>
  </si>
  <si>
    <t>B.EVLER 7.CD MACROCENTER S</t>
  </si>
  <si>
    <t>MACROCENTER S</t>
  </si>
  <si>
    <t>MİLENYUM NEVŞEHİR M MİGROS</t>
  </si>
  <si>
    <t>BURUNUCU MH ÜNYE ORDU M MİGROS</t>
  </si>
  <si>
    <t>ZÜBEYDE HANIM CD KIRŞEHİR MM</t>
  </si>
  <si>
    <t>MEYDAN ERYAMAN ANKARA M MİGROS</t>
  </si>
  <si>
    <t>BEYSUKENT MACROCENTER</t>
  </si>
  <si>
    <t>KALICI KONUTLAR BOLU M MİGROS</t>
  </si>
  <si>
    <t>AŞKAN MH MERAM KONYA M MİGROS</t>
  </si>
  <si>
    <t>BARIŞ CD SELÇUKLU KONYA MM</t>
  </si>
  <si>
    <t>MJET ŞEHİT H. ÖZER CD ANKARA</t>
  </si>
  <si>
    <t>MJET TOKİ TURKUAZ ANKARA</t>
  </si>
  <si>
    <t>LIFE TOWERS SAMSUN M MİGROS</t>
  </si>
  <si>
    <t>PAZAR RİZE M MİGROS</t>
  </si>
  <si>
    <t>MJET EMNİYET MH ANKARA</t>
  </si>
  <si>
    <t>ALACA ÇORUM M MİGROS</t>
  </si>
  <si>
    <t>MJET MEŞRUTİYET CD ANKARA</t>
  </si>
  <si>
    <t>MJET ATA CADDESİ MERKEZ ÇORUM</t>
  </si>
  <si>
    <t>İÇ ANADOLU</t>
  </si>
  <si>
    <t>2025 FIYAT</t>
  </si>
  <si>
    <t>WEIGUANG,SANMU,TYPHOON,BVN,AKS</t>
  </si>
  <si>
    <t>WEIGUANG,ROSENBERG,EBM,S&amp;P,Ziehll Abeg</t>
  </si>
  <si>
    <t>AKSE-630 6KA4 900 d/d</t>
  </si>
  <si>
    <t xml:space="preserve">CAREL ELEKTRONİK  VALF </t>
  </si>
  <si>
    <t>E2v</t>
  </si>
  <si>
    <t>SUPERVİZOR  FAN TEMİNİ</t>
  </si>
  <si>
    <t>SUPERVİZOR  HARDDİSK  TEMİNİ</t>
  </si>
  <si>
    <t>COPELAND ZBD45+ZB38+UPCB001HS0+ E2V30USM10 KIT</t>
  </si>
  <si>
    <t>CAREL MIGROS MTS MINI KIT</t>
  </si>
  <si>
    <t>CAREL BMEST03RS0 BOSS-MINI SUPERVISOR HEADLESS BOX-STANDARD (30 DEVICES),3 CREDITS ONBOARD</t>
  </si>
  <si>
    <t>BOSS</t>
  </si>
  <si>
    <t>CAREL BMHCW03XS0 BOSS MONITORING SYSTEM HIGHEND BOX, STANDARD CAPACITY (100 DEVICES), 3 CREDITS ONBO</t>
  </si>
  <si>
    <t>UPCB001HS0</t>
  </si>
  <si>
    <t>UPCCONN0S0</t>
  </si>
  <si>
    <t xml:space="preserve">PJEASY  KOMBİNASYON KUTUSU </t>
  </si>
  <si>
    <t>MUTLUSAN;LEGRAND;ÇETİNKAYA,AKİŞ,</t>
  </si>
  <si>
    <t>ABS PLASTİK</t>
  </si>
  <si>
    <t xml:space="preserve">KAPI SWİTCH </t>
  </si>
  <si>
    <t>LİMİT SWİTCH</t>
  </si>
  <si>
    <t>ZBD45</t>
  </si>
  <si>
    <t>KOMPRESÖR</t>
  </si>
  <si>
    <t xml:space="preserve">COPELAND ZB45 KCE TFD 551 PART NR.8813099 </t>
  </si>
  <si>
    <t>ZF18</t>
  </si>
  <si>
    <t>COPELAND ZF18 K4E TFD 556 PART NR.8813782</t>
  </si>
  <si>
    <t>ZB38</t>
  </si>
  <si>
    <t>COPELAND ZB38 KCE TFD 551 PART NR.8813113</t>
  </si>
  <si>
    <t>ZBD45-2</t>
  </si>
  <si>
    <t>COPELAND ZBD45 KCE TFD 551 PART NR.8841336 / 8402531</t>
  </si>
  <si>
    <t xml:space="preserve">CASTEL </t>
  </si>
  <si>
    <t>ODE,IZOCAM,pa flex</t>
  </si>
  <si>
    <t>16*19</t>
  </si>
  <si>
    <t>KAUÇUK İZOLASYON BANDI</t>
  </si>
  <si>
    <t xml:space="preserve">T=3 MM,5 CM,15 MT </t>
  </si>
  <si>
    <t xml:space="preserve">DEKORATİF BANT </t>
  </si>
  <si>
    <t>YERLI</t>
  </si>
  <si>
    <t xml:space="preserve">50 MM,15 Mt </t>
  </si>
  <si>
    <t>HALCOR</t>
  </si>
  <si>
    <t>BAKIR REDÜKSİYON</t>
  </si>
  <si>
    <t>28x22</t>
  </si>
  <si>
    <t>28x18</t>
  </si>
  <si>
    <t>35X22</t>
  </si>
  <si>
    <t>35X18</t>
  </si>
  <si>
    <t>35X28</t>
  </si>
  <si>
    <t>42x35</t>
  </si>
  <si>
    <t>42x28</t>
  </si>
  <si>
    <t>54x42</t>
  </si>
  <si>
    <t>54x35</t>
  </si>
  <si>
    <t>54X28</t>
  </si>
  <si>
    <t>54x22</t>
  </si>
  <si>
    <t>BAKIR ÜNYON</t>
  </si>
  <si>
    <t xml:space="preserve">BAKIR SPREY BOYA </t>
  </si>
  <si>
    <t>400 M SPRAY</t>
  </si>
  <si>
    <t xml:space="preserve">İNHİBİTÖRLÜ MONOPROPİLEN GLİKOL </t>
  </si>
  <si>
    <t>LUBREEZE</t>
  </si>
  <si>
    <t xml:space="preserve">HİDROLİK KELEPÇE </t>
  </si>
  <si>
    <t>NORM</t>
  </si>
  <si>
    <t>AĞIR HİZMET TİPİ</t>
  </si>
  <si>
    <t>Akustik İzolasyon</t>
  </si>
  <si>
    <t>Slikon</t>
  </si>
  <si>
    <t>Sista Köpük</t>
  </si>
  <si>
    <t>Doğlagaz Kelepçesi 2" Somunlu</t>
  </si>
  <si>
    <t>Doğlagaz Kelepçesi 2-1/2" Somunlu</t>
  </si>
  <si>
    <t>Tij M8</t>
  </si>
  <si>
    <t>Tij M10</t>
  </si>
  <si>
    <t>Duvar Konsolu 300mm</t>
  </si>
  <si>
    <t>Duvar Konsolu 500mm</t>
  </si>
  <si>
    <t>Duvar Konsolu 600mm</t>
  </si>
  <si>
    <t>Kelepçe Sacı 2" 56-60 20CM</t>
  </si>
  <si>
    <t>Kelepçe Sacı 2-1/2" 75-80 20CM</t>
  </si>
  <si>
    <t>Kelepçe Sacı 3" 86-91 20CM</t>
  </si>
  <si>
    <t>PPRC BORU</t>
  </si>
  <si>
    <t>25mm CAM ELYAFLI</t>
  </si>
  <si>
    <t>32mm CAM ELYAFLI</t>
  </si>
  <si>
    <t>40mm CAM ELYAFLI</t>
  </si>
  <si>
    <t>50mm CAM ELYAFLI</t>
  </si>
  <si>
    <t>OTO PURJÖR</t>
  </si>
  <si>
    <t>PPRC TEE</t>
  </si>
  <si>
    <t>32 x 25 x 32mm</t>
  </si>
  <si>
    <t>40 x 25 x 40mm</t>
  </si>
  <si>
    <t>40 x 32 x 40mm</t>
  </si>
  <si>
    <t>50 x 25 x 50mm</t>
  </si>
  <si>
    <t>50 x 32 x 50mm</t>
  </si>
  <si>
    <t>50 x 40 x 50mm</t>
  </si>
  <si>
    <t>PPRC REDÜKSİYON</t>
  </si>
  <si>
    <t>25 x 32mm</t>
  </si>
  <si>
    <t>25 x 40mm</t>
  </si>
  <si>
    <t>25 x 50mm</t>
  </si>
  <si>
    <t>32 x 50mm</t>
  </si>
  <si>
    <t>40 x 50mm</t>
  </si>
  <si>
    <t>32 x 40mm</t>
  </si>
  <si>
    <t>PPRC ADAPTÖR DIŞ DİŞLİ</t>
  </si>
  <si>
    <t>32 x 34mm</t>
  </si>
  <si>
    <t>PPRC ADAPTÖR İÇ DİŞLİ</t>
  </si>
  <si>
    <t>PPRC MANŞON</t>
  </si>
  <si>
    <t>25mm</t>
  </si>
  <si>
    <t>32mm</t>
  </si>
  <si>
    <t>40mm</t>
  </si>
  <si>
    <t>50mm</t>
  </si>
  <si>
    <t>PPRC DİRSEK 45 DERECE</t>
  </si>
  <si>
    <t>20mm</t>
  </si>
  <si>
    <t>PPRC DİRSEK 90 DERECE</t>
  </si>
  <si>
    <t>PPRC KÜRESEL VANA</t>
  </si>
  <si>
    <t>20 mm</t>
  </si>
  <si>
    <t>SU BASINÇ MANOMETRESİ</t>
  </si>
  <si>
    <t>Ø63 Gliserinli paslanmaz gövdeli cl:1 vakum manometresi0-10 BAR</t>
  </si>
  <si>
    <t xml:space="preserve">BATARYA FLEXİ </t>
  </si>
  <si>
    <t>50cm 1/2" İZOLELİ</t>
  </si>
  <si>
    <t>50cm 3/4" İZOLELİ</t>
  </si>
  <si>
    <t>SU SELENOİDİ</t>
  </si>
  <si>
    <t>3/4-1"</t>
  </si>
  <si>
    <t>SU SELENOİD VALF BOBİNİ</t>
  </si>
  <si>
    <t>CAREL NTC015HT41 SENSOR NTC HT (INOX CAP 6X80mm) IP67-30T150 1.50M CABLE 10 PCS</t>
  </si>
  <si>
    <t>SİRKÜLASYON POMPASI</t>
  </si>
  <si>
    <t>WİLO</t>
  </si>
  <si>
    <t xml:space="preserve">PİSLİK TUTUCU </t>
  </si>
  <si>
    <t>1-1/2" PASLANMAZ</t>
  </si>
  <si>
    <t>GENLEŞME TANKI</t>
  </si>
  <si>
    <t>12LT 10BAR</t>
  </si>
  <si>
    <t xml:space="preserve">1 EKIP ŞEHİR İÇİ SERVİS BEDELİ </t>
  </si>
  <si>
    <t>ACIL CAGRI KAPSAMINDA YAPILAN ISLER</t>
  </si>
  <si>
    <t xml:space="preserve">1 EKIP ŞEHİR DIŞI SERVİS BEDELİ </t>
  </si>
  <si>
    <t>ADAM SAAT GUNDUZ /GECE (&gt;=2. GUN)</t>
  </si>
  <si>
    <t xml:space="preserve">ADAM SAAT GECE  </t>
  </si>
  <si>
    <t xml:space="preserve">22.00-08.00 saatleri arasındaki işlerde kullanılacak  </t>
  </si>
  <si>
    <t>S5</t>
  </si>
  <si>
    <t>TADİLAT ERİŞİM  ŞEHİRİÇİ</t>
  </si>
  <si>
    <t>S6</t>
  </si>
  <si>
    <t>TADİLAT ERİŞİM  ŞEHİRDIŞI</t>
  </si>
  <si>
    <t>SAMSUN MM MİGROS</t>
  </si>
  <si>
    <t>SİVAS MMM MİGROS</t>
  </si>
  <si>
    <t>SÜMER MH ESKİŞEHİR MM MİGROS</t>
  </si>
  <si>
    <t>MJET ANKARA KORTAŞ PO İSTASYON</t>
  </si>
  <si>
    <t>MJET-İSTASYON</t>
  </si>
  <si>
    <t>MJET EREĞLİ ERDEMİR PO</t>
  </si>
  <si>
    <t>MJET SARIKIŞLA ANKARA PO</t>
  </si>
  <si>
    <t>MJET BEŞKAVAKLAR BOLU PO</t>
  </si>
  <si>
    <t>MJET ALTAY ANKARA PO İSTASYON</t>
  </si>
  <si>
    <t>MJET KOCATEPE KAYSERİ PO</t>
  </si>
  <si>
    <t>MJET GEYRAS TOKAT PO İSTASYON</t>
  </si>
  <si>
    <t>MJET KEÇİÖREN ANKARA PO</t>
  </si>
  <si>
    <t>MJET KURTULUŞ MAH KARABÜK PO</t>
  </si>
  <si>
    <t>HEMEN BESA KARİNA MİGROS</t>
  </si>
  <si>
    <t>E-TİCARET</t>
  </si>
  <si>
    <t>HEMEN TAURUS AVM ANKARA MİGROS</t>
  </si>
  <si>
    <t>HEMEN G.O.PAŞA ANKARA MİGROS</t>
  </si>
  <si>
    <t>ATAKUM SAHİL MACROKIOSK</t>
  </si>
  <si>
    <t>MACROKIOSK</t>
  </si>
  <si>
    <t>KUĞULUPARK MACROKIOSK</t>
  </si>
  <si>
    <t>ALTIN ORAN ANKARA MACROKIOSK</t>
  </si>
  <si>
    <t>MION AYDINLIKEVLER ANKARA</t>
  </si>
  <si>
    <t>MION</t>
  </si>
  <si>
    <t>MION RAGIP TÜZÜN ANKARA</t>
  </si>
  <si>
    <t>MION DİKMEN CD. ÇANKAYA ANKARA</t>
  </si>
  <si>
    <t>MION LİSE CD YOZGAT</t>
  </si>
  <si>
    <t>MJET AHİ EVRAN IŞIK KAYSERİ PO</t>
  </si>
  <si>
    <t>MION MARAŞ CAD. TRABZON</t>
  </si>
  <si>
    <t>MION KASTAMALL AVM KASTAMONU</t>
  </si>
  <si>
    <t>MION G. MUSTAFA KEMAL BLV ANK</t>
  </si>
  <si>
    <t>MION PODIUM AVM Y.MAHALLE ANK</t>
  </si>
  <si>
    <t>MION MEYDAN MH TOKAT</t>
  </si>
  <si>
    <t>MION ATATÜRK BULVARI KÜTAHYA</t>
  </si>
  <si>
    <t>MION BOSNA HERSEK MH KONYA</t>
  </si>
  <si>
    <t>BELEDİYE ZİLE TOKAT M MİGROS</t>
  </si>
  <si>
    <t>7.CD BAHÇELİEVLER MACROKIOSK</t>
  </si>
  <si>
    <t>BİLKENT ANKUVA MACROKIOSK</t>
  </si>
  <si>
    <t>MION ATATÜRK BLV KIZILAY ANK</t>
  </si>
  <si>
    <t>MJET BEŞTEPE ANKARA</t>
  </si>
  <si>
    <t>MION MEŞRUTİYET CD ANKARA</t>
  </si>
  <si>
    <t>ALİ ULVİ KURUCU CD KONYA M</t>
  </si>
  <si>
    <t>MTA SELÇUKLU KONYA MM MİGROS</t>
  </si>
  <si>
    <t>BİNKONUT SELÇUKLU KONYA MM</t>
  </si>
  <si>
    <t>MION BİLKENT ÇANKAYA ANKARA</t>
  </si>
  <si>
    <t>MJET ELÇİ CD ANKARA</t>
  </si>
  <si>
    <t>METRO SİNCAN ANKARA M MİGROS</t>
  </si>
  <si>
    <t>VAKFIKEBİR TRABZON M MİGROS</t>
  </si>
  <si>
    <t>GÖKMEYDAN MH ESKİŞEHİR MM</t>
  </si>
  <si>
    <t>BATIKENT ESK MACROKIOSK</t>
  </si>
  <si>
    <t>İZCİ SK ÇANKAYA ANKARA M</t>
  </si>
  <si>
    <t>ANKARA ROBOTİK DARKSTORE</t>
  </si>
  <si>
    <t>MJET MEYDAN EREĞLİ ZONGULDAK</t>
  </si>
  <si>
    <t>MJET 19 MAYIS TEKKEKÖY SAMSUN</t>
  </si>
  <si>
    <t>ATATÜRK MH GERZE SİNOP M</t>
  </si>
  <si>
    <t>BOZKIR KONYA M MİGROS</t>
  </si>
  <si>
    <t>ŞEKER MH KONYA M MİGROS</t>
  </si>
  <si>
    <t>BARIŞ MH SAFRANBOLU KARABÜK M</t>
  </si>
  <si>
    <t>SUNDURA MH HOPA ARTVİN M</t>
  </si>
  <si>
    <t>ANAŞEHİR TALAS KAYSERİ M</t>
  </si>
  <si>
    <t>MJET VEGA OTONOMİ ANKARA</t>
  </si>
  <si>
    <t>A.TÜRKEŞ BLV KIRIKKALE M</t>
  </si>
  <si>
    <t>CEYHUN ATUF KANSU CD ANKARA</t>
  </si>
  <si>
    <t>EREN YILDIRIM BLV KAYSERİ M</t>
  </si>
  <si>
    <t>ÖĞRETMENLER CD ESKİŞEHİR M</t>
  </si>
  <si>
    <t>MJET ÇANKAYA ANKARA</t>
  </si>
  <si>
    <t>ÜNİVERSİTE MERKEZ AMASYA M</t>
  </si>
  <si>
    <t>ORHANGAZİ CD TOKAT M MİGROS</t>
  </si>
  <si>
    <t>ESPİYE GİRESUN M MİGROS</t>
  </si>
  <si>
    <t>ALACAATLI ÇAYYOLU MACROCENTER</t>
  </si>
  <si>
    <t>ŞAHİNCİLİ ORDU M MİGROS</t>
  </si>
  <si>
    <t>SEVAL CD ANKARA M MİGROS</t>
  </si>
  <si>
    <t>TAŞHAN KALE ÖNÜ TOKAT M MİGROS</t>
  </si>
  <si>
    <t>MJET HASTANE ZONGULDAK</t>
  </si>
  <si>
    <t>TAŞPINAR İNCEK ANK MACROKIOSK</t>
  </si>
  <si>
    <t>GALLERİA AVM ANKARA M MİGROS</t>
  </si>
  <si>
    <t>MJET NURİ PAMİR CD ANKARA</t>
  </si>
  <si>
    <t>MUSTAFA ŞİMŞEK BLV KAYSERİ M</t>
  </si>
  <si>
    <t>SELİM KİRAZ CD İNCEK ANKARA M</t>
  </si>
  <si>
    <t>MUSTAFA KEMAL MH ANKARA M</t>
  </si>
  <si>
    <t>ALAPLI ZONGULDAK M MİGROS</t>
  </si>
  <si>
    <t>BÜYÜKBÖLCEK AKSARAY M MİGROS</t>
  </si>
  <si>
    <t>KURTULUŞ MH FATSA ORDU M</t>
  </si>
  <si>
    <t>YENİ MERAM CD KONYA M MİGROS</t>
  </si>
  <si>
    <t>ULUIRMAK KONYA M MİGROS</t>
  </si>
  <si>
    <t>CUMHURİYET MERZİFON AMASYA M</t>
  </si>
  <si>
    <t>DOĞUKENT ANKARA M MİGROS</t>
  </si>
  <si>
    <t>BARBAROS MAH KAYSERİ M</t>
  </si>
  <si>
    <t>MJET SUKENT BEYTEPE ANKARA</t>
  </si>
  <si>
    <t>KOORDİNAT ÇAYYOLU ANKARA M</t>
  </si>
  <si>
    <t>GAMADOR KEÇİÖREN ANKARA MM</t>
  </si>
  <si>
    <t>BATIKENT YAZIR KONYA M MİGROS</t>
  </si>
  <si>
    <t>ESKİŞEHİR MACROCENTER</t>
  </si>
  <si>
    <t>MJET B.EVLER ÜRGÜP NEVŞEHİR</t>
  </si>
  <si>
    <t>MJET YENİBAĞLAR ESKİŞEHİR</t>
  </si>
  <si>
    <t>OSTİM YENİMAHALLE ANKARA MM</t>
  </si>
  <si>
    <t>SİLAHTAR CD ANKARA MACROKIOSK</t>
  </si>
  <si>
    <t>MJET A.TÜRKEŞ CD EREĞLİ KONYA</t>
  </si>
  <si>
    <t>BUĞU FANI</t>
  </si>
  <si>
    <t xml:space="preserve">FLEX BORU </t>
  </si>
  <si>
    <t>5/8</t>
  </si>
  <si>
    <t>ÇANKIRI MM MIGROS</t>
  </si>
  <si>
    <t>ÇANKIRI</t>
  </si>
  <si>
    <t>ÇERKEŞ ÇANKIRI M MİGROS</t>
  </si>
  <si>
    <t>MJET BEŞKAVAKLAR CD ÇANKIRI</t>
  </si>
  <si>
    <t>MJET İSKİTLER ANKARA</t>
  </si>
  <si>
    <t>BAĞDAT CD SİVAS M MİGROS</t>
  </si>
  <si>
    <t>İLDEM PARK OUTLET KAYSERİ MM</t>
  </si>
  <si>
    <t>ILGAZ ÇANKIRI M MİGROS</t>
  </si>
  <si>
    <t>ŞABANÖZÜ ÇANKIRI M MİGROS</t>
  </si>
  <si>
    <t>KULELİ ANKARA MACROKIOSK</t>
  </si>
  <si>
    <t>IRMAK PARK KASTAMONU M MİGROS</t>
  </si>
  <si>
    <t>EXCELLANCE BEYTEPE MACROKIOSK</t>
  </si>
  <si>
    <t>ANKARA CD KULU KONYA M MİGROS</t>
  </si>
  <si>
    <t>YALINCAK MH TRABZON M MİGROS</t>
  </si>
  <si>
    <t>EVLİYA ÇELEBİ KÜTAHYA MM</t>
  </si>
  <si>
    <t>TÜRKELİ SİNOP M MİGROS</t>
  </si>
  <si>
    <t>PRESTİJ İNCEK ANKARA M</t>
  </si>
  <si>
    <t>MJET PELİTLİ TRABZON</t>
  </si>
  <si>
    <t>MJET KAYMAKLI TRABZON</t>
  </si>
  <si>
    <t>MEHMET OSMAN CD ESKİŞEHİR M</t>
  </si>
  <si>
    <t>İLDEM CUMHURİYET MH KAYSERİ M</t>
  </si>
  <si>
    <t>ETLİK SANCAK ANKARA M MİGROS</t>
  </si>
  <si>
    <t>MJET BEYPAZARI ANKARA</t>
  </si>
  <si>
    <t>TUNA AVM KAYSERİ M</t>
  </si>
  <si>
    <t>ATAKUM MACROCENTER</t>
  </si>
  <si>
    <t>YILDIZEVLER ANKARA M MİGROS</t>
  </si>
  <si>
    <t>UNIQUE ÜMİTKÖY MACROCENTER S</t>
  </si>
  <si>
    <t>İşyeri No</t>
  </si>
  <si>
    <t>Isyeri Adi</t>
  </si>
  <si>
    <t>Bölge</t>
  </si>
  <si>
    <t>Marka Adı</t>
  </si>
  <si>
    <t>Format Adı</t>
  </si>
  <si>
    <t>Adres</t>
  </si>
  <si>
    <t>MİGROS</t>
  </si>
  <si>
    <t>Uğur Mumcu Cad. Büyükesat Mah No:66 G.O.P:</t>
  </si>
  <si>
    <t>ÇANKAYA</t>
  </si>
  <si>
    <t>BAHÇELİEVLER ANKARA MM MİGROS</t>
  </si>
  <si>
    <t>BAHÇELİEVLER MAHALLESİ AZERBAYCAN CADDESİ NO:35A</t>
  </si>
  <si>
    <t>Küçükesat Mah. Esat Cad. No:76</t>
  </si>
  <si>
    <t>Çetin Emeç Bulv. Ehlibeyt Mah. No:117</t>
  </si>
  <si>
    <t>Koru Mah. Dumlupınar Bulvarı No: 355/C</t>
  </si>
  <si>
    <t>HUNAT MAH KAYSERİ MM MİGROS</t>
  </si>
  <si>
    <t>Hunat Mahallesi Postalar Geçidi Sokak No:9</t>
  </si>
  <si>
    <t>MELİKGAZİ</t>
  </si>
  <si>
    <t>Gazi Mah. Konya Devlet Yolu Akköprü mevkii</t>
  </si>
  <si>
    <t>YENİMAHALLE</t>
  </si>
  <si>
    <t>Karaçayır Mah. Fuar Sok. No:3</t>
  </si>
  <si>
    <t>MERKEZ</t>
  </si>
  <si>
    <t>DOĞUKARDENZ/KUZEYDĞU</t>
  </si>
  <si>
    <t>Kuzeyyıldızı Mah. Ali Rıza Bey Bulvarı No:2</t>
  </si>
  <si>
    <t>CANİK</t>
  </si>
  <si>
    <t>Kaleardı Mah. Turgut Özal Cad. No:29/A</t>
  </si>
  <si>
    <t>Fatih Cad. Kalaba Mah. NO: 30</t>
  </si>
  <si>
    <t>KEÇİÖREN</t>
  </si>
  <si>
    <t>Ansera İş Merkezi Hoşdere Cad. Portakal Çiçeği Sok</t>
  </si>
  <si>
    <t>Yeniçağ Mah. Ragıp Tüzün Cad.5.Durak No:134</t>
  </si>
  <si>
    <t>Yıldızevler Milli SavunmaBakanlığı Lojman İçi</t>
  </si>
  <si>
    <t>Bahçelievler Mahallesi Atatürk Bul. No:253/104</t>
  </si>
  <si>
    <t>ALTINORDU</t>
  </si>
  <si>
    <t>İnönü Mahallesi Yavuz Selim Bul. No:321/1</t>
  </si>
  <si>
    <t>ORTAHİSAR</t>
  </si>
  <si>
    <t>Seki Alışveriş Mrk Kızılcaşar Mah. No:51</t>
  </si>
  <si>
    <t>GÖLBAŞI</t>
  </si>
  <si>
    <t>Kontaş Canberk Şant. Göksu Park Karşısı Eryaman</t>
  </si>
  <si>
    <t>ETİMESGUT</t>
  </si>
  <si>
    <t>Aktekke Mah. Yalçın Cad. No:22/23</t>
  </si>
  <si>
    <t>Fabrikalar Mah. Atatürk Bulvarı No:6</t>
  </si>
  <si>
    <t>Angora Cad. BEYSUPARK AVM Beysukent</t>
  </si>
  <si>
    <t>Denizevleri Mah. Atatürk Bulvarı No:156</t>
  </si>
  <si>
    <t>ATAKUM</t>
  </si>
  <si>
    <t>Yeşilırmak Mah. Bosna Bulvarı No:4</t>
  </si>
  <si>
    <t>365 AVM. Birlik Mah.428 Cadde. NO:41</t>
  </si>
  <si>
    <t>Kalkınma Mah.Devlet Karayolu Cad. No:101</t>
  </si>
  <si>
    <t>İncivez Mah. Milli Egemenlik Cad. No:130/001</t>
  </si>
  <si>
    <t>Kızılırmak Mah.1423 Caddesi No:21</t>
  </si>
  <si>
    <t>Sivritaş Mah. Benzinci Dayı Sok. Bina No:25-27</t>
  </si>
  <si>
    <t>ÜRGÜP</t>
  </si>
  <si>
    <t>Ereğli Mah. 7/Atatürk Bul. No:100/A-A</t>
  </si>
  <si>
    <t>Fevziçakmak Mah. Orhan Yılmaz Cad. No:81/Z02</t>
  </si>
  <si>
    <t>AMASYA MM MIGROS</t>
  </si>
  <si>
    <t>Hacı İlyas Mh.Mustafa Kemal Paşa Cd. No:128;/A-B-C</t>
  </si>
  <si>
    <t>Servi Mah.Mithatpaşa Cad.No:1/1</t>
  </si>
  <si>
    <t>Yukarı Bahçelievler Mah.Aşkabat(7.) Cad.No:25</t>
  </si>
  <si>
    <t>Yaşamkent Mah. 3222. Cad. No:29A</t>
  </si>
  <si>
    <t>KONYA BOSNA MM MİGROS</t>
  </si>
  <si>
    <t>Bosna Hersek Mah.Mesaj Cad.No:38/A-B</t>
  </si>
  <si>
    <t>SELÇUKLU</t>
  </si>
  <si>
    <t>Cumhuriyet Mah. Hükümet Cad. No: 202</t>
  </si>
  <si>
    <t>ERBAA</t>
  </si>
  <si>
    <t>Buğday Pazarı Mah. Atatürk Bul. No:51/A</t>
  </si>
  <si>
    <t>Sümer Mah. Kar Sok. No:13/1</t>
  </si>
  <si>
    <t>ODUNPAZARI</t>
  </si>
  <si>
    <t>Hacınabi Mah. Tekel Caddesi No:1</t>
  </si>
  <si>
    <t>BAFRA</t>
  </si>
  <si>
    <t>Alparslan Mah.Org.Eşref Bitlis Bul.No:10</t>
  </si>
  <si>
    <t>Emek Mah. Kayseri Cad. No:70/C</t>
  </si>
  <si>
    <t>İşçi Bloklar Mah.37.Cad.No:58/4</t>
  </si>
  <si>
    <t>Oran Mah.Zühtü Tigrel cad.No:7</t>
  </si>
  <si>
    <t>Kültür Mah. Libadiye Cad No:11/B Kolej</t>
  </si>
  <si>
    <t>MJET</t>
  </si>
  <si>
    <t>Aziziye Mah.Hoşdere Cad.No:189-B</t>
  </si>
  <si>
    <t>Eryaman Mah. 19 Mayıs Cad. No: 5</t>
  </si>
  <si>
    <t>Angora Dora İş Mkz Mutlukent Mah.Kocatepe Cad No:2</t>
  </si>
  <si>
    <t>Anıttepe Mah. GMK Bulvarı NO: 99/ A-B</t>
  </si>
  <si>
    <t>Ayışan Sok. NO:39/A Kavacık Subayevleri Mah</t>
  </si>
  <si>
    <t>Şehitlik Mah Ziyakökalp Cad NO 18</t>
  </si>
  <si>
    <t>POLATLI</t>
  </si>
  <si>
    <t>BARTIN MMM MİGROS</t>
  </si>
  <si>
    <t>Cumhuriyet Mah Eski Hastane Cad. No:2/1</t>
  </si>
  <si>
    <t>100.Yıl Mah.1.Gözde Sok. Erka Çarşı  B Blok No:4/1</t>
  </si>
  <si>
    <t>Karşıyaka Mah. Atatürk Bulvarı No: 386/A</t>
  </si>
  <si>
    <t>İstiklal Mah. 2 Eylül Cad. Esnaf Sarayı Yanı</t>
  </si>
  <si>
    <t>İç Cebeci Mah. Kutlugün Sok. NO:10-4/A-B-C</t>
  </si>
  <si>
    <t>Bişkek Cad.No:137 Emek Mah</t>
  </si>
  <si>
    <t>Müftü Mah.İlhami Soysal Cad.Tüylüoğlu İş Merkezi</t>
  </si>
  <si>
    <t>EREĞLİ</t>
  </si>
  <si>
    <t>Prof.Dr Ahmet Taner Kışlalı Mh.8.Cd.no:179 Çayyolu</t>
  </si>
  <si>
    <t>Demirlibahçe Mah. Uzgörenler Sok No:4A</t>
  </si>
  <si>
    <t>MAMAK</t>
  </si>
  <si>
    <t>Çamlıtepe Mah. Kıbrıs cad. No:11</t>
  </si>
  <si>
    <t>Bahçelievler Mah. Bahabey Cad. No:59/A</t>
  </si>
  <si>
    <t>Havzan Mah. Eski Meram Cad. No: 26</t>
  </si>
  <si>
    <t>MERAM</t>
  </si>
  <si>
    <t>Mimar Sinan Mahallesi Alparslan Bulvarı No:33</t>
  </si>
  <si>
    <t>Vişnelik Mah.Atatürk Bulvarı. Kayıhan Sok No:B</t>
  </si>
  <si>
    <t>İsmet İnönü Cd. 2.kısım No: 37</t>
  </si>
  <si>
    <t>TEPEBAŞI</t>
  </si>
  <si>
    <t>Eskibağlar Mh. Prof.Dr. Yılmaz Büyükerşen Bulvarı</t>
  </si>
  <si>
    <t>Büyükdere Mh. Karadağ Sk. No:37</t>
  </si>
  <si>
    <t>Beşkavaklar Mah. Behiye Baysal Cad. No:30/6</t>
  </si>
  <si>
    <t>Yanıkoğlu Mah. Ahmet Yesevi Bulvarı</t>
  </si>
  <si>
    <t>Osman Temiz Mahallesi Dikmen Caddesi No: 313/A</t>
  </si>
  <si>
    <t>Mustafa Kemal Mah.Dumlupınar Bulvarı</t>
  </si>
  <si>
    <t>Eti mah. Celal Bayar Bulv. Tok Sok No:7</t>
  </si>
  <si>
    <t>Merkez Kuledibi Mh Turgay Ciner Cd No: 18/A</t>
  </si>
  <si>
    <t>HOPA</t>
  </si>
  <si>
    <t>Yenimahalle Emet Cad No: 14/C-D</t>
  </si>
  <si>
    <t>TAVŞANLI</t>
  </si>
  <si>
    <t>Çay Mah İstiklal Sok No: 5</t>
  </si>
  <si>
    <t>ÇAYCUMA</t>
  </si>
  <si>
    <t>Hançerli Mah 100 Yıl Blv No: 59</t>
  </si>
  <si>
    <t>İLKADIM</t>
  </si>
  <si>
    <t>Yenimahalle Mh İstiklal Cd No: 31-33</t>
  </si>
  <si>
    <t>Tahran Cd Gazi Osmanpaşa Mh No 40 A-B</t>
  </si>
  <si>
    <t>Mustafa Kemal Paşa Mh Hükümet Cd No 13</t>
  </si>
  <si>
    <t>FATSA</t>
  </si>
  <si>
    <t>Atatürk Mh Devlet Sahil Yolu No 745</t>
  </si>
  <si>
    <t>ÜNYE</t>
  </si>
  <si>
    <t>Yeni Mh Atatürk Blv No: 206</t>
  </si>
  <si>
    <t>Büyükdere Mh Sevdik Sk No 1/A</t>
  </si>
  <si>
    <t>Büyük İhsaniye Mah Millet Cad Damla Sit No 20/A</t>
  </si>
  <si>
    <t>Cumhuriyet Mah. Atatürk Blv. NO:392</t>
  </si>
  <si>
    <t>Kılıçdede Mqh. İstiklal Cad. NO:165/65</t>
  </si>
  <si>
    <t>Koru Mah. 2432. Cad. (Eski 8.Cadde) No:192</t>
  </si>
  <si>
    <t>Yıldızevler Mah. Kısınev Cad. NO:1/A</t>
  </si>
  <si>
    <t>Söğütlü Beldesi Orta Mah.Adnan Kahvesi Bulv.</t>
  </si>
  <si>
    <t>AKÇAABAT</t>
  </si>
  <si>
    <t>Kazımkarabekir Mah Odunpazarı Cad No 16/1-2-3-4</t>
  </si>
  <si>
    <t>Batıkent Mah.Geven Sok.No:6</t>
  </si>
  <si>
    <t>Kızılırmak Mah.Dumlupınar Bulv. No 3/C1</t>
  </si>
  <si>
    <t>Köşk Mh Köşk Cd No 63/A</t>
  </si>
  <si>
    <t>Yenişehir Mh Yurtkur Cd Ayışığı Apt No 22</t>
  </si>
  <si>
    <t>YAHŞİHAN</t>
  </si>
  <si>
    <t>Bahçelievler Mah.Sakarya 2.Cad.No:101</t>
  </si>
  <si>
    <t>Karadeniz Mh Gazi Cd No 133</t>
  </si>
  <si>
    <t>Yeşilırmak Mah Vali Zekai Gümüşdiş Bulvarı No:3</t>
  </si>
  <si>
    <t>Erenler mah. Bağdat cad. No:6</t>
  </si>
  <si>
    <t>2037 Cadde (12.Cadde) Pllanlamacılar Sitesi No:17</t>
  </si>
  <si>
    <t>Şirintepe Mah.Yaylapınar Cad.No:82/A</t>
  </si>
  <si>
    <t>Kazancı Mah.İnönü Cad.No:9</t>
  </si>
  <si>
    <t>Bağlık Mah.Suphi Konak Cad.No:38/B</t>
  </si>
  <si>
    <t>Çankaya Mah Farabi Sokak 16/A</t>
  </si>
  <si>
    <t>Sokullu Mehmet Paşa Mah.Sokullu Mehmet Paşa Cad</t>
  </si>
  <si>
    <t>Kuşdili Mah.Terme Cad.NO:60</t>
  </si>
  <si>
    <t>Uzunyalı Mah.Dr.Alper Temur Cad.No:6</t>
  </si>
  <si>
    <t>Kaşüstü Mah. 15 Sok No:31</t>
  </si>
  <si>
    <t>YOMRA</t>
  </si>
  <si>
    <t>Gülabibey Mah. Cemilbey Cad. No:83/C</t>
  </si>
  <si>
    <t>Üçtutlar Mah. Dr. İlhan Gürel Cad. No: 16/21</t>
  </si>
  <si>
    <t>Ergenekon Mah. Nilüfer Sok. Kulepark No: 2/B104</t>
  </si>
  <si>
    <t>Liman Mah.Gençlik Cad.No:9</t>
  </si>
  <si>
    <t>Toptepe Mah. Kayaaltı Sok. No:7/2</t>
  </si>
  <si>
    <t>İncek Mah.Turgut Özal Bulvarı NO:33</t>
  </si>
  <si>
    <t>Zübeyde Hanım Mah Kazımkarabekir Cad.NO:29</t>
  </si>
  <si>
    <t>ALTINDAĞ</t>
  </si>
  <si>
    <t>Karadeniz Mah. Cumhuriyet Cad.NO:53/5</t>
  </si>
  <si>
    <t>Büyükdere Mah.Kaplanlı Cad.Çevikbaş Sok.No:95</t>
  </si>
  <si>
    <t>Emek Mah. Kazakistan Cad.128-A</t>
  </si>
  <si>
    <t>Kışla Mah.Zübeyde Hanım Bulv.No:5</t>
  </si>
  <si>
    <t>Kaledere Mah.Salih Çuhadar Sok.No:2</t>
  </si>
  <si>
    <t>Sancak Mah. Veysel Karani Cad.No:4 B20</t>
  </si>
  <si>
    <t>Çıtlakkale Mah. Atatürk Bul. No:131-133</t>
  </si>
  <si>
    <t>Sancak Mah Veysel Karani Cad.NO:6</t>
  </si>
  <si>
    <t>Oran Mahallesi, Kudüs Caddesi No:6/A-14</t>
  </si>
  <si>
    <t>Fatih Sultan Mehmet Mah. Üniversite Cad. No: 44/14</t>
  </si>
  <si>
    <t>Kültür Mahallesi Ziya Gökalp Caddesi No: 40/A-B</t>
  </si>
  <si>
    <t>Çankaya Mah. Mustafa Özel Cad. B Blok no:68/B</t>
  </si>
  <si>
    <t>Süleymanlar Mah.Hastane Cad.No:8/A</t>
  </si>
  <si>
    <t>İhsaniye Mah Fatih Cad No:123 A-B-C</t>
  </si>
  <si>
    <t>BULANCAK</t>
  </si>
  <si>
    <t>Ihlamurkent Mah. Nilüfer Cad. No:20/A</t>
  </si>
  <si>
    <t>Mehmetakif Ersoy Mah. Bağdat Cad NO:60/B-008</t>
  </si>
  <si>
    <t>Büyükesat MAH.Uğur Mumcu CAD NO:62</t>
  </si>
  <si>
    <t>Paşaköy Mah. D-100 Karayolu Cad. No:8/8</t>
  </si>
  <si>
    <t>Osmangazi Mah.Basın Şehitleri Cad.NO:331</t>
  </si>
  <si>
    <t>Etlik Cad.NO:108</t>
  </si>
  <si>
    <t>Hacılar Meydanı Mah. Necip Fazıl Cad. No:35/A</t>
  </si>
  <si>
    <t>Korkutreis Mah Sezenler Cad. NO:16/A-B</t>
  </si>
  <si>
    <t>Esenler Mah. 320. Sokak NO:2</t>
  </si>
  <si>
    <t>Yaşamkent Mah. 3250. Cadde No:6/B-3,B-4,B-5,B-6</t>
  </si>
  <si>
    <t>Beşkavaklar Mah. D-100 Karayolu Cad. No:95/B</t>
  </si>
  <si>
    <t>Karşıyaka Mah.Haymana Yolu Bulvarı No:4/A</t>
  </si>
  <si>
    <t>2000 Evler Mah. 33. Sokak No:20</t>
  </si>
  <si>
    <t>Şehit Osman Avcı Mh.Şehit Mehmet Çavuş Cd.No:13/1</t>
  </si>
  <si>
    <t>İlkbahar Mah Güneypark Kümeevleri NO:19B-52</t>
  </si>
  <si>
    <t>Ada Mah. Enver Bahadır Cad. No:17/A/B</t>
  </si>
  <si>
    <t>Remzi Oğuz Arık Mah. Şimşek Sok. NO:2/B</t>
  </si>
  <si>
    <t>Büyükdere Mah. Millet Cad. NO:3/B</t>
  </si>
  <si>
    <t>Akyazı Mah. Ahmet Cemal Mağden Cad. No:20</t>
  </si>
  <si>
    <t>Altay Mahallesi Ayaş Ankara Karayolu Bulvarı No158</t>
  </si>
  <si>
    <t>Cumhuriyet Mah. Cengiz Topel Cad. No: 74/A</t>
  </si>
  <si>
    <t>Bahçelievler Mah.Prof.Dr.Muammer Aksoy Cad.No:73/A</t>
  </si>
  <si>
    <t>ATATÜRK BULVARI  ADIYAMAN MM</t>
  </si>
  <si>
    <t>DOĞUAKDENZ/GÜNEYDOĞU</t>
  </si>
  <si>
    <t>Barbaros Hayrettin Mah.Atatürk Bulvarı No:79</t>
  </si>
  <si>
    <t>ADIYAMAN</t>
  </si>
  <si>
    <t>Çankaya Mah.İran Cad.No:8A/2</t>
  </si>
  <si>
    <t>Gültepe Mah.Farabi Cad.Prime Mall AVM No:22/AZ-M-O</t>
  </si>
  <si>
    <t>Nasuhdede mah.387.Sokak No:4</t>
  </si>
  <si>
    <t>İhsaniye Mah. Gazi Yakup Satar Cad. No:37</t>
  </si>
  <si>
    <t>Yıldırım Beyazıt Mah.Sivas Bulvarı No:200/A</t>
  </si>
  <si>
    <t>Yarenler Mahallesi, Onur Sokak, B Blok, No:38/A</t>
  </si>
  <si>
    <t>AKŞEHİR</t>
  </si>
  <si>
    <t>Kocatepe Mah. Eren Yıldırım Bulvarı NO:45</t>
  </si>
  <si>
    <t>Yeni Bağlar Mahallesi Eti Caddesi No:39/C</t>
  </si>
  <si>
    <t>Alaylar Bir Mah.Profösör Sadi Irmak Cad.No:8/C</t>
  </si>
  <si>
    <t>SEYDİŞEHİR</t>
  </si>
  <si>
    <t>Yalıncak mah.Gazi cad.No:4AA</t>
  </si>
  <si>
    <t>Geyras Mah.Sivas Bulvarı NO:94</t>
  </si>
  <si>
    <t>Fatih Mah. Adnan Menderes Bul. No:184 A/4</t>
  </si>
  <si>
    <t>Gesi Fatih Mah. Gün Sazak Cad. No:65/2B13</t>
  </si>
  <si>
    <t>Hamidiye Mah.Şube Sk.No:12</t>
  </si>
  <si>
    <t>GERZE</t>
  </si>
  <si>
    <t>Yeni Mah. Antalya Cad.No:117/B</t>
  </si>
  <si>
    <t>BEYŞEHİR</t>
  </si>
  <si>
    <t>Çephi Mah. Kerebi Gazi 1.Sok No:7/4</t>
  </si>
  <si>
    <t>Eti Mahallesi Celal Bayar Bulvarı no:78 ÜZ 4</t>
  </si>
  <si>
    <t>Eti Mahallesi Celal Bayar Bulvarı no:78 ÜZ48</t>
  </si>
  <si>
    <t>Bağlıca Mah. Bağlıca Bulvarı No:107/A -6-7-8-9-10</t>
  </si>
  <si>
    <t>Alavardı Mahallesi Serdar Sokak No:3/I</t>
  </si>
  <si>
    <t>Yeni Mah. Mutlu Sokak No:2</t>
  </si>
  <si>
    <t>SAFRANBOLU</t>
  </si>
  <si>
    <t>Konutkent Mah. 3028 Cadde No:16B/22-23-24-25</t>
  </si>
  <si>
    <t>Müftü Mah. Uzunkum Cad. No:5/1</t>
  </si>
  <si>
    <t>Kocasinan Mah. Gesi Cad. No:10/A</t>
  </si>
  <si>
    <t>KOCASİNAN</t>
  </si>
  <si>
    <t>Çarşı Mah. Sanayi Sokak.No:3</t>
  </si>
  <si>
    <t>Ayvalı Mah. Afra Cad. No:1/34</t>
  </si>
  <si>
    <t>Pınarbaşı Mah. Aksaray Cad. No:2 A-B</t>
  </si>
  <si>
    <t>Güre Mah.Şehit Piy.Ast Sub.Kd.Bçş.Ömer Halis Cad.</t>
  </si>
  <si>
    <t>Kalaba Mahallesi Fatih Caddesi No:20E</t>
  </si>
  <si>
    <t>Meydankapı Mah. Kurtuluş Cad No:26</t>
  </si>
  <si>
    <t>Hacıseyit Ali Mah. Seyit Harun Bulvarı No:18</t>
  </si>
  <si>
    <t>Mithatpaşa Mah. Bülent Ecevit Cad. No:67</t>
  </si>
  <si>
    <t>Güvenevler Mah.Güvenlik Cad. No:72/A-B</t>
  </si>
  <si>
    <t>Oran Mah. Kudüs Cad. Panora Avm No:3/8</t>
  </si>
  <si>
    <t>Ovacık Mah. Yozgat Bulvarı No: 97/Z23</t>
  </si>
  <si>
    <t>Başkent Bulv.No:224 /H-01 Batıkent Altantis AVM</t>
  </si>
  <si>
    <t>Eskişehir Yolu Armada AVM No: 6/B4 Söğütözü</t>
  </si>
  <si>
    <t>Akkent Mh.Kütahya Eskişehir kara yolu Blv No:1/Z03</t>
  </si>
  <si>
    <t>Kırmızıtoprak Mah. Vali Ali Fuat Güven Cad No:11</t>
  </si>
  <si>
    <t>Hacılar Mah. 986/1 Sokak R2 Apt. No:1/26/10</t>
  </si>
  <si>
    <t>Yukarı Yurtçu Mah.Evliya Çelebi Cad.No:20</t>
  </si>
  <si>
    <t>Tunahan Mah Dumlupınar 30 Ağustos Cad No:2A</t>
  </si>
  <si>
    <t>Yenimahalle Çarşamba Cad.No:52 Z43/Z47/Z50</t>
  </si>
  <si>
    <t>Yenimahalle Mah. Atakent Bulvarı No:12/D</t>
  </si>
  <si>
    <t>Parsana Mah. Kaletaş Cad.  No:2AN</t>
  </si>
  <si>
    <t>Karasamsun Mah. Mehmet Akif Ersoy Cad. No:108 D:1</t>
  </si>
  <si>
    <t>Mimar Sinan Mah. 176.Sokak No:3</t>
  </si>
  <si>
    <t>Kurtuluş Mahhallesi Atatürk Bulvarı No:150</t>
  </si>
  <si>
    <t>Yeni Mah. Şehit Turgut Makascı Cad  No:78 A-78 B</t>
  </si>
  <si>
    <t>Mevlana Mah.Mehmet Akif Ersoy Cad.No:22 / A</t>
  </si>
  <si>
    <t>TALAS</t>
  </si>
  <si>
    <t>Birlik Mah.Şehit Sadık Erişen Sok No:54/A</t>
  </si>
  <si>
    <t>Gayret Mah. İvedik Cad. A Blok Apt.No:27 AC</t>
  </si>
  <si>
    <t>Bahçelievler  Mah. Mevlana Cad. No:12/A</t>
  </si>
  <si>
    <t>İldem Cumhuriyet  Mah. Tekin Sok. No:120/Z01</t>
  </si>
  <si>
    <t>Üniversiteler Mah. 1597. Cadde No:3/1</t>
  </si>
  <si>
    <t>Mimarsinan Mah. Bozatlı Cad. No:103</t>
  </si>
  <si>
    <t>Melikgazi Mah. Aşık Veysel Bulvarı No:22/Z06</t>
  </si>
  <si>
    <t>Mevlana Mh.Zafer Bayburtoğlu Cd.B Blok Apt.No:11/A</t>
  </si>
  <si>
    <t>Gedikkaya Mah. Gazi Mustafa Kemal Bulv No:218/1</t>
  </si>
  <si>
    <t>ADIYAMANPARK MM MİGROS</t>
  </si>
  <si>
    <t>YeniSanayi Mah. 2819 Sokak AVM Sitesi No:70</t>
  </si>
  <si>
    <t>Aydınlıkevler Mah. Çevreli Cad. No:58</t>
  </si>
  <si>
    <t>Nasuh Mah. Murat Yenigün Cad No:172/1</t>
  </si>
  <si>
    <t>CİDE</t>
  </si>
  <si>
    <t>Kiçiköy Mah. Atatürk Bulv. No:81/A-B</t>
  </si>
  <si>
    <t>Çankaya Mah. Çankaya Cad. Atakukule AVM</t>
  </si>
  <si>
    <t>Yıldırım Beyazıt Mah. Org. Hulisi Akar Bul. No: 15</t>
  </si>
  <si>
    <t>Alacaatlı Mah. 3381 Cad. No:42B/7</t>
  </si>
  <si>
    <t>Kışla Mah. Beykoz Sok. NO: 1</t>
  </si>
  <si>
    <t>Mustafa Parmaksız Cad. No:56/B 101</t>
  </si>
  <si>
    <t>İşçi Blokları Mah. Mevlana Bulvarı No: 190 B-1</t>
  </si>
  <si>
    <t>İncivez Mah. Üniversite Cad. No:65</t>
  </si>
  <si>
    <t>Bahçelievler Mah. Şenyurt Cad. No:8/A</t>
  </si>
  <si>
    <t>Kurtuluş Mah. Vatan Cad. No:13 A-B</t>
  </si>
  <si>
    <t>MJET KAHTA ADIYAMAN</t>
  </si>
  <si>
    <t>Yavuz Selim Mah.5016 Sok İstanbul Park Sit.No:19/B</t>
  </si>
  <si>
    <t>KAHTA</t>
  </si>
  <si>
    <t>Göksu Mah. 5352. Cadde F Apt. No:1 F/10</t>
  </si>
  <si>
    <t>Akşemsettin Mah. 2308. sokak  No:1/A 18</t>
  </si>
  <si>
    <t>Esenevler mah,Abdullah Gül Bulvarı, No:19 A-B</t>
  </si>
  <si>
    <t>Bahçeleriçi Mah. Zafer Sokak No:12-14/A-B</t>
  </si>
  <si>
    <t>Batıkent Mah.Dönmez Sokak No:5</t>
  </si>
  <si>
    <t>Emek Mah.Mamuca Köyü Ceylanlar Sok. No:3</t>
  </si>
  <si>
    <t>Alacatlı Mah.Park Cad. No:28/2-3</t>
  </si>
  <si>
    <t>Bahçelievler Mah. Bahabey Cad. No:27/F</t>
  </si>
  <si>
    <t>Yıldıztepe Mah. Halk Cad. No:120/A</t>
  </si>
  <si>
    <t>Tepebaşı Mah.Taşocağı Sokak No:20/12</t>
  </si>
  <si>
    <t>Çayyolu Mah. 2673 Cad. No:8/A-B</t>
  </si>
  <si>
    <t>Yaşamkent Mah. 3222. Cad. No:29/A</t>
  </si>
  <si>
    <t>Kum Mah. Amiral Celal Eyiceoğlu Cad No:19-21A</t>
  </si>
  <si>
    <t>AMASRA</t>
  </si>
  <si>
    <t>Bahçelievler Mah. Mithat Dülge Cad. No:1/2</t>
  </si>
  <si>
    <t>AVANOS</t>
  </si>
  <si>
    <t>Oran Mah. Zülfü Tigrel Cad. No:1/A</t>
  </si>
  <si>
    <t>Yıldızevler Mah. 714.Sokak No:6A</t>
  </si>
  <si>
    <t>Prof.Dr.Ahmet Taner Kışlalı Mah.No:36/B-C-D-E-F-G</t>
  </si>
  <si>
    <t>Mimar Sinan Mah. Alparslan Bulv. No:1</t>
  </si>
  <si>
    <t>Müftü Mah. Hamam Arası Sok No:10</t>
  </si>
  <si>
    <t>Uğur Mumcu Cad. Büyükesat Mah No:66</t>
  </si>
  <si>
    <t>Esenyurt Mah. Erciyes Bulv. No;:10</t>
  </si>
  <si>
    <t>Yeni Batı Mah. Necip Fazıl Cad. No:13F/F-G-H</t>
  </si>
  <si>
    <t>Şeker Mah.Muhsin Yazıcıoğlu Bulv.NO:77</t>
  </si>
  <si>
    <t>Göksu Mah.2.İnönü Cad.No: 4/F Blok 1 Nolu Dükkan</t>
  </si>
  <si>
    <t>Gelincik Mah. Fatih Cad. No:128/AA</t>
  </si>
  <si>
    <t>Müftü Mah. Atatürk Cad. No:548 Eski Stad Yeri</t>
  </si>
  <si>
    <t>Yeni Mah. 34092 Sokak B Blok No:12/A</t>
  </si>
  <si>
    <t>Altay Mah. Söğüt Cad. No:8 DA/G-H-I-J-K</t>
  </si>
  <si>
    <t>Kazım Karabekir Mah. 934 Sok No:2/29-30-32</t>
  </si>
  <si>
    <t>Kurtuluş Mah. İrfan Gümüşel Cad. No:10</t>
  </si>
  <si>
    <t>BEYPAZARI</t>
  </si>
  <si>
    <t>Kemalpaşa Mah.Altınbaş Cad.No:2-C</t>
  </si>
  <si>
    <t>ELMADAĞ</t>
  </si>
  <si>
    <t>Hasköy Mah. Şehit Ömer Halisdemir Bulvarı No:165</t>
  </si>
  <si>
    <t>Merkez Mah. Atatürk Cad. No:3/A</t>
  </si>
  <si>
    <t>KİLİMLİ</t>
  </si>
  <si>
    <t>Kaşıkcıbağları Mah. Vali Ayhançevik Bulv.NO:63</t>
  </si>
  <si>
    <t>Ellibeşevler Mah. Celal Topala Sok.A1 Blok No:3/1A</t>
  </si>
  <si>
    <t>Halil Rıfatpaşa Mah.İnönü Bulv.No:56G-56H</t>
  </si>
  <si>
    <t>Bayır Mah.Kıbrıs Şehitleri Cad.Ayhanlar Apt No:15</t>
  </si>
  <si>
    <t>Bağlıca Mahallesi Zirve Caddesi No:93 B/1-2-3-4</t>
  </si>
  <si>
    <t>Şehit Osman Avcı Mah Melekli Caddesi No: 7A Merkez</t>
  </si>
  <si>
    <t>Oğulbey Mah.Fetih Cad.No:18/A</t>
  </si>
  <si>
    <t>Filyos Mah Namık Kemal Sok No:49</t>
  </si>
  <si>
    <t>Yenişehir Mah.  Gazze Cad. No:15/E</t>
  </si>
  <si>
    <t>Moymul Mah.Tunçbilek Cad.No:92/A</t>
  </si>
  <si>
    <t>Baraj Mah.Beylerbeyi Sok.</t>
  </si>
  <si>
    <t>Dolunay Mah. Samanyolu Sok.No:1</t>
  </si>
  <si>
    <t>Cengizhan Mah. Sultan Fatih Cad. 22/A</t>
  </si>
  <si>
    <t>Sancak Mah.Trabzon Cad.No:153A</t>
  </si>
  <si>
    <t>Sancak Mah.Trabzon Cad. No:153A</t>
  </si>
  <si>
    <t>Bağlık Mah.Erdemir Cad. No:93 /A2</t>
  </si>
  <si>
    <t>Orhanlar Mah. Atatürk Blv. No:40 AA</t>
  </si>
  <si>
    <t>Deliklitaş Mah.Dr. Hilmi Sok. No:3</t>
  </si>
  <si>
    <t>Kuzeykent Mah. Kamil Demircioğlu Cad. No:4 BA</t>
  </si>
  <si>
    <t>Ege Mah. Natayolu Cad. No:158/A</t>
  </si>
  <si>
    <t>Cumhuriyet Mah. Mimar Sinan Blv. No:65</t>
  </si>
  <si>
    <t>Yeşildere Mah. Alaçam Cad. No: 94/A</t>
  </si>
  <si>
    <t>Ergazi Mah. Cengiz Aytmatov Cad. No:19-A</t>
  </si>
  <si>
    <t>Bosna Hersek Mah. Yeni İstanbul Cad. No:250</t>
  </si>
  <si>
    <t>Şeyhşamil Mah. Kazım Karabekir Cad. No: 62C</t>
  </si>
  <si>
    <t>Büyükkolpınar Mah,1246.Cadde No:66/20A</t>
  </si>
  <si>
    <t>Kavaklar Mah.Akçay Sok. No:11</t>
  </si>
  <si>
    <t>Güney Mah Zonguldak Yolu Cad. No:6B</t>
  </si>
  <si>
    <t>KOZLU</t>
  </si>
  <si>
    <t>Mimarsinan Mah. Adnan Menderes Blv. No:243/A</t>
  </si>
  <si>
    <t>Karasu Köyü İskele Köy Bağlısı İskele 10 nolu Soka</t>
  </si>
  <si>
    <t>Yazır Mah. Doç.Dr. Halil Ürün Cad. No:22</t>
  </si>
  <si>
    <t>Pirömer Mah. Üçgöz Cad. NO:34A</t>
  </si>
  <si>
    <t>Osmangazi Mah Erkilet Bulvarı 558 A</t>
  </si>
  <si>
    <t>Yakut Mah, Akmescit Cad. No:20</t>
  </si>
  <si>
    <t>Dinçerler Mah. Dinçerler Cad. No:26/A</t>
  </si>
  <si>
    <t>ZİLE</t>
  </si>
  <si>
    <t>Musalla Bağları Mah.Kule Cad.Kule Site AVM.No:8/47</t>
  </si>
  <si>
    <t>Sümer Mah. Eczacı Sami Cad. Park Site Avm No:5</t>
  </si>
  <si>
    <t>Kazımkarabekir Mah. Ahmet Gazi Aydan Blv. NO:41/A</t>
  </si>
  <si>
    <t>Sahabiye Mah. Ahmet Paşa Cad. No:69/C-69/1A</t>
  </si>
  <si>
    <t>Mamuriye Mah. Ferit Paşa Cad. No:25</t>
  </si>
  <si>
    <t>Kaşüstü Mah Trabzon Rize Yolu No:104</t>
  </si>
  <si>
    <t>Saraçlar Mah. Su Ve Kanalizasyon İdaresi No:36</t>
  </si>
  <si>
    <t>Barbaros Mah. İran Cad. No:13/14</t>
  </si>
  <si>
    <t>Yenimahalle Mah. 3417. Cad. No:102 A-B</t>
  </si>
  <si>
    <t>Beytepe Mah.5345 Sok.No:42/A-B-C-D</t>
  </si>
  <si>
    <t>Taşpazar Mah. Atatürk Blv. No:3</t>
  </si>
  <si>
    <t>Eryaman Mah 285. Sokak No:5/1,2,3</t>
  </si>
  <si>
    <t>Kırmızıtoprak Mah.Mustafa Kemal Atatürk Cd No:91/B</t>
  </si>
  <si>
    <t>Emek Mah. Gül Sok. No:28/A</t>
  </si>
  <si>
    <t>Tokatlı Köyü Merkez Mevkii Çiftlik Cad</t>
  </si>
  <si>
    <t>Mustafa Kemal Mah. 2123 Cad. No:2C</t>
  </si>
  <si>
    <t>İsmetpaşa Mah. Gençlik Cad. 100/A</t>
  </si>
  <si>
    <t>Hacıarmağan Mah. Köprübaşı Cad No:35A</t>
  </si>
  <si>
    <t>Kalaba Mah. Fatih Cad. No: 20/B-C-D</t>
  </si>
  <si>
    <t>Bengiler Mah. Atatürk Bulvarı no: 17/44-45-46-47-4</t>
  </si>
  <si>
    <t>NİKSAR</t>
  </si>
  <si>
    <t>İlkbahar, 625. Cd. No:20/1,2</t>
  </si>
  <si>
    <t>Etlik Mah. Ayvalı Cad. No:142/A-B-C 142/7-8</t>
  </si>
  <si>
    <t>Gülbahar Mah. Menderes Bulv. No:366-2</t>
  </si>
  <si>
    <t>Gölevi Mah. Anadolu Öğretmen Lisesi 2. Sokak</t>
  </si>
  <si>
    <t>Mehmet Akif Ersoy Mah.Rauf Denktaş Cad.No:84</t>
  </si>
  <si>
    <t>Batıkent Mah.Org.Kıvrıkoğlu Cad.No:69/A-B-1A-1B</t>
  </si>
  <si>
    <t>Yenice Mah.Şehit Resul Coşkun Cad NO:13/A_B_C_D</t>
  </si>
  <si>
    <t>Hoşnudiye Mah.Kızılcıklı Mahmut Pehlivan Cad.No:21</t>
  </si>
  <si>
    <t>Kosova Mah.Veysel Karani Cad.Sancaklife 6.Giriş</t>
  </si>
  <si>
    <t>Kasaba Mah.Prof. Dr. Bahri Gökçebay Cad.No:3</t>
  </si>
  <si>
    <t>R.Oğuz Arık Mah.Bestekar Cad.No:63</t>
  </si>
  <si>
    <t>Eğriköprü Mah. Yüksel Yancı Cad. No:3/A</t>
  </si>
  <si>
    <t>Yenice Mah.Gazi Osman Paşa Bulv.No:50/A-B</t>
  </si>
  <si>
    <t>Nasreddin Hoca Mah. 32501. Sokak  No:4A</t>
  </si>
  <si>
    <t>Yaşamkent Mah.3061 Cad.No:5/E-F</t>
  </si>
  <si>
    <t>Beytepe Mah.5387.Cad.No:27/C2-3-4-5</t>
  </si>
  <si>
    <t>Barbaros Mah.Erkilet Bulvarı No:13/A</t>
  </si>
  <si>
    <t>Müftü Mah. Şehit Ömer Halisdemir Bulvarı NO:26/B</t>
  </si>
  <si>
    <t>Ümit Mah. 2479. Cadde No:2 İç Kapı No:40</t>
  </si>
  <si>
    <t>Cumhuriyet Mah.Atatürk Bulv.No:70/2</t>
  </si>
  <si>
    <t>Taşlıdere Mah.Eski Rize Hopa Yolu</t>
  </si>
  <si>
    <t>Mimarsinan Mah. Atatürk Bulv.No:206</t>
  </si>
  <si>
    <t>Şehit Osman Avcı Mah. Malazgirt 1071. Cad. No:41/B</t>
  </si>
  <si>
    <t>Aksu Mah. Pazar Cad. No:8</t>
  </si>
  <si>
    <t>Gedikkaya Mah. Güngör Cad. 101. Sok. No:38</t>
  </si>
  <si>
    <t>Yalıncak Mah. İstiklal Cad. No:5D/2</t>
  </si>
  <si>
    <t>Merkez Mah. Atatürk Cad. No:153</t>
  </si>
  <si>
    <t>ARDEŞEN</t>
  </si>
  <si>
    <t>Yenimahalle Mah. Ali Gaffar Okkan Cad. No:75</t>
  </si>
  <si>
    <t>Camiatik Mah. 83. Sok. No:1</t>
  </si>
  <si>
    <t>ILGIN</t>
  </si>
  <si>
    <t>Kılınçarslan Mah. Şair Seyfi Sok. No:18</t>
  </si>
  <si>
    <t>Şeyh Şamil Mah. 47-Hamza Yerlikaya Cad. No:42</t>
  </si>
  <si>
    <t>Mimarsinan Mah. Bozantı Cad. No:84/D</t>
  </si>
  <si>
    <t>Gölbucağı Mah. 559. Sok. No:4/1 Işık Apt. A Blok</t>
  </si>
  <si>
    <t>Dumlupınar Mah. Şehit Ömer Halisdemir Cad.</t>
  </si>
  <si>
    <t>Bahçelievler Mah. Mehmetçik Cad. No:8</t>
  </si>
  <si>
    <t>Camikebir Mah.138025 Sok. No:5A</t>
  </si>
  <si>
    <t>KULU</t>
  </si>
  <si>
    <t>SELAHADDİNİ EYYUBİ MAHALLESİ KUTBİLCİHAN CADDESİ</t>
  </si>
  <si>
    <t>Harman Mah. Tekir Cad. No:14/A</t>
  </si>
  <si>
    <t>DEVELİ</t>
  </si>
  <si>
    <t>Ulubatlıhasan Mah Kırbaşı Cad. No:123</t>
  </si>
  <si>
    <t>KARATAY</t>
  </si>
  <si>
    <t>Boğaziçi mah. Dr. C. Kazancıoğlu Cad.</t>
  </si>
  <si>
    <t>ARHAVİ</t>
  </si>
  <si>
    <t>Şirinevler Mah. 674 Sokak No:15-21/A</t>
  </si>
  <si>
    <t>Esenevler Mah. İsmet İnönü Bulvarı No</t>
  </si>
  <si>
    <t>Ada Mah. Okullar Cad.</t>
  </si>
  <si>
    <t>Hendekbaşı Mah. Salih Sinirlioğlu Cad. No:21</t>
  </si>
  <si>
    <t>GÖRELE</t>
  </si>
  <si>
    <t>Fatih Mah. Akasya Sok. No:5/A</t>
  </si>
  <si>
    <t>Merkez Mah. Trabzon Cad. No:72B</t>
  </si>
  <si>
    <t>ARAKLI</t>
  </si>
  <si>
    <t>Üniversite Mah. Zafanoz Cad. Analiz Sok. No:2</t>
  </si>
  <si>
    <t>Pazarkapı Mah. K.Maraş Cad. No:112</t>
  </si>
  <si>
    <t>Pelitli Mah. Kelebek Sok. No:1/A</t>
  </si>
  <si>
    <t>ORTAHISAR</t>
  </si>
  <si>
    <t>Soğuksu Mah. Postacı Sk. Ozçim Sitesi</t>
  </si>
  <si>
    <t>Kaymaklı Mah. Çukrçayır Yolu Cad. No:28</t>
  </si>
  <si>
    <t>1 Nolu Beşirli Mah. Devlet Sahilyolu Cad.No:513/B</t>
  </si>
  <si>
    <t>Kaşüstü Mah. Merkez Cad. No:12/A</t>
  </si>
  <si>
    <t>İnönü Mah. Dr. İbrahim Okman Cad. No:8/A</t>
  </si>
  <si>
    <t>Mimarsinan Mah. Bağışlı Sok. No:5/1B01</t>
  </si>
  <si>
    <t>Karşıyaka Mah. Haymana Yolu Blv. No:296</t>
  </si>
  <si>
    <t>Hacı Ömerli Mah. Kocatepe Cad. No:52</t>
  </si>
  <si>
    <t>KARAPINAR</t>
  </si>
  <si>
    <t>Yukarı Dikmen Mah. 648. Cad.</t>
  </si>
  <si>
    <t>Orhangazi Mah. Ziraat Cd. No:171/C</t>
  </si>
  <si>
    <t>Bahçelievler Mah. Müftüoğlu Cd. No:01a</t>
  </si>
  <si>
    <t>SORGUN</t>
  </si>
  <si>
    <t>Şeyhcui Mah. Türkistan Cd. No:62</t>
  </si>
  <si>
    <t>Beytepe Mah. Ertuğrul Gazi Blv No:22/A</t>
  </si>
  <si>
    <t>Cumhuriyet Mah. İnönü Cad. Dış Kapı 86/1B</t>
  </si>
  <si>
    <t>Cumhuriyet Mah. Nakış Cad. No:29</t>
  </si>
  <si>
    <t>CİHANBEYLİ</t>
  </si>
  <si>
    <t>Gazi Osmanpaşa Mah. Gamzeli Cd. No:73A</t>
  </si>
  <si>
    <t>SİNCAN</t>
  </si>
  <si>
    <t>İSTASYON MAHALLESİ ULUBATLI HASAN CADDESİ NO: 45A,</t>
  </si>
  <si>
    <t>Türkbeyli Mah. Gökçesu Cd. No:37</t>
  </si>
  <si>
    <t>MENGEN</t>
  </si>
  <si>
    <t>Yeşilöz Mah. Sanayi Cad. No:45</t>
  </si>
  <si>
    <t>Yıldırım Mah. Belkent Cad. No:7/1</t>
  </si>
  <si>
    <t>ŞARKIŞLA</t>
  </si>
  <si>
    <t>Şeker Mah. Millet Cad. No:19/2A-2B</t>
  </si>
  <si>
    <t>SULUOVA</t>
  </si>
  <si>
    <t>Karamuklu Mah. Hükümet Cd.</t>
  </si>
  <si>
    <t>ÇERKEŞ</t>
  </si>
  <si>
    <t>Boztepe Mah. İpekyolu Cd. No:51</t>
  </si>
  <si>
    <t>Fahri Korutürk Mah. Neşet Ertaş Cd No:50/A-B-E-F-G</t>
  </si>
  <si>
    <t>Kalkınma Mah. Akif Saruhan Cad. No:53/A</t>
  </si>
  <si>
    <t>Başağaç Mah. Alparslan Türkeş Blv.</t>
  </si>
  <si>
    <t>Yeni Mah. Şehit Ahmet Balcı Sk.Kanuni Apt. A blok</t>
  </si>
  <si>
    <t>OSMANCIK</t>
  </si>
  <si>
    <t>Bahçelievler Mah. Mehmetçik Cd. 71a</t>
  </si>
  <si>
    <t>MERZİFON</t>
  </si>
  <si>
    <t>2 Nolu Erdoğdu Mh. Esenler Sok. No:5/A</t>
  </si>
  <si>
    <t>Karatepe Mah. Doğukent Cd. No:3</t>
  </si>
  <si>
    <t>Bahçelievler Mah. Jandarma Yrb. Mesut Kuru Cd.</t>
  </si>
  <si>
    <t>HAVZA</t>
  </si>
  <si>
    <t>Mevlana Mah. Alpaslan Bulvarı No: 67AA</t>
  </si>
  <si>
    <t>Hocacihan Mah. Şehit Ali Dığrak Cad. No:4</t>
  </si>
  <si>
    <t>Taşpınar Mah. Taşpınar Küme Evleri</t>
  </si>
  <si>
    <t>Bardakçı Mah. Konya Cad. No:30</t>
  </si>
  <si>
    <t>ÇUMRA</t>
  </si>
  <si>
    <t>Bahçelievler Mah. 100. Yıl Cd. No:130-A</t>
  </si>
  <si>
    <t>TOSYA</t>
  </si>
  <si>
    <t>Pulcular Mah. İnönü Cd. No:50-A</t>
  </si>
  <si>
    <t>TAŞKÖPRÜ</t>
  </si>
  <si>
    <t>Akçay Mah. Kırım Cd. No:11/A-B-C-D</t>
  </si>
  <si>
    <t>KIZILCAHAMAM</t>
  </si>
  <si>
    <t>Haşim Kılıç Mah Şht. Abdulkadir Tuğ Cad. No:2</t>
  </si>
  <si>
    <t>YERKÖY</t>
  </si>
  <si>
    <t>Kitirler Mah. Atatürk Blv. No:87</t>
  </si>
  <si>
    <t>GEREDE</t>
  </si>
  <si>
    <t>Orhangazi Mah.Aşık Veysel Blv No:64</t>
  </si>
  <si>
    <t>Alaylar Bir Mah. Ankara Cad. No:49A</t>
  </si>
  <si>
    <t>Zafertepe Mah. İmam Gazali Cad. No: 6C</t>
  </si>
  <si>
    <t>2 Nolu Beşirli Mah. 910 nolu Sok. No:2/1</t>
  </si>
  <si>
    <t>Alpağut Mah. 174. Sokak No:9/A-B-E</t>
  </si>
  <si>
    <t>Yenişehir Mah. Üstad Sok. No:2/A-B-K-L-M</t>
  </si>
  <si>
    <t>Kemaliye Mah. Ankara Cad. No:2044/A-B-C</t>
  </si>
  <si>
    <t>Hürriyet mah. Şehit Miralay Nazımbey Bulvarı</t>
  </si>
  <si>
    <t>19 Mayıs Mah. Hacı Ali Ekinci Cad. 19. Sok. No:48</t>
  </si>
  <si>
    <t>TEKKEKÖY</t>
  </si>
  <si>
    <t>Kaşüstü Mah. Muratlı Cad. No:60A</t>
  </si>
  <si>
    <t>Esenköy Mah.  Abaz Caddesi No:198/1A</t>
  </si>
  <si>
    <t>Sanayi Mah. Metin Şanal Bulvarı</t>
  </si>
  <si>
    <t>ŞEREFLİKOÇHİSAR</t>
  </si>
  <si>
    <t>Merkez Mah. Rasim Çağlar Cd. No:21a, İç Kapı No:17</t>
  </si>
  <si>
    <t>YAKAKENT</t>
  </si>
  <si>
    <t>Taşpazar Mah. 32/Ebulfeyz Elçibey Cad. No:29/1-B01</t>
  </si>
  <si>
    <t>Mevlana Mah. Sayer Cad. No:17/A-17/B</t>
  </si>
  <si>
    <t>Mevlana Mah. Karasu Cad. No:11/B</t>
  </si>
  <si>
    <t>Alacaatlı Mah. 3407 Cadde No:6/C-D-E</t>
  </si>
  <si>
    <t>Bahçe Saray Mah. Mevlana Cad. 18/A</t>
  </si>
  <si>
    <t>ÇELTİK</t>
  </si>
  <si>
    <t>Mevlana Mah. Orgeneral Hulusi Akar Bulvarı</t>
  </si>
  <si>
    <t>Altınevler Mah. Yatıkmusluk Cad. No:19A</t>
  </si>
  <si>
    <t>Beyazıt Mah. Nurettin Cankurtaran Cad. No:12B-C</t>
  </si>
  <si>
    <t>AKYURT</t>
  </si>
  <si>
    <t>Şahinkaya Mah. Hurmalık Küme Evleri B blok</t>
  </si>
  <si>
    <t>ÇAYKARA</t>
  </si>
  <si>
    <t>Körfez Mah. Atatürk 5. Kısm Bul no: 28A</t>
  </si>
  <si>
    <t>Söğütlü Mah. Adnan Kahveci Bulv. Efem Sitesi</t>
  </si>
  <si>
    <t>Başpınar Mah. 1048. Cad. No:182/A-B-C</t>
  </si>
  <si>
    <t>Bahçelievler Mah.Atatürk Cad. no:193A</t>
  </si>
  <si>
    <t>Yunus Emre Mah. Atatürk Bulvarı No:54B</t>
  </si>
  <si>
    <t>ÇEKEREK</t>
  </si>
  <si>
    <t>19 Mayıs Mah. Atatürk Bulvarı Dış kapı no:8</t>
  </si>
  <si>
    <t>Kirazlık Çay Mah. Değirmenbaşı Cd. Dış Kapı No:66A</t>
  </si>
  <si>
    <t>ÇARŞAMBA</t>
  </si>
  <si>
    <t>Tandoğan Mah. Billur Cad. No:13A-B</t>
  </si>
  <si>
    <t>4 Eylül Mah. Tevfik Fikret Cad. No:48A</t>
  </si>
  <si>
    <t>SİMAV</t>
  </si>
  <si>
    <t>Hasanoğlan Bahçelievler Mah. Menderes Bulvarı</t>
  </si>
  <si>
    <t>Gökmeydan Mah Şehit Öğretmen Mustafa Çoşkun Sok.</t>
  </si>
  <si>
    <t>Altunsu Mah. Kanlıca Cad. No:1A</t>
  </si>
  <si>
    <t>KOZAKLI</t>
  </si>
  <si>
    <t>Altıağaç Mah. 206. Cad. (Eski 2. Cadde) No:40F</t>
  </si>
  <si>
    <t>Fatih Mah. İsmail Ergene Cad. No: 25</t>
  </si>
  <si>
    <t>MJET ADIYAMAN KONTEYNER MARKET</t>
  </si>
  <si>
    <t>Altınşehir Mah. 3027 Skokak</t>
  </si>
  <si>
    <t>Osmanlı Mah. Muammer Aksoy Cad. No: 50,50A,50C</t>
  </si>
  <si>
    <t>Cevher Dudayev Mah. Hacı Bektaş Veli Bulvarı</t>
  </si>
  <si>
    <t>Atatürk Mah. Toros Sok. No: 1L-M-N</t>
  </si>
  <si>
    <t>KAHRAMANKAZAN</t>
  </si>
  <si>
    <t>Cumhuriyet Mah. Kayseri Cad. No:9/D</t>
  </si>
  <si>
    <t>BÜNYAN</t>
  </si>
  <si>
    <t>Mehmet Akif Ersoy Mah. 5303 Sok. No:1 A</t>
  </si>
  <si>
    <t>Büyükcami Mah. Parti Sok. No: 2B</t>
  </si>
  <si>
    <t>Merkez Mah. Şht.Murat Altuntaş Cad. Zemin Kat</t>
  </si>
  <si>
    <t>Fevzi Çakmak Mah.Yeşil Irmak Cad. No:46</t>
  </si>
  <si>
    <t>Çukurambar Mah. 1425. Cadde No: 13A</t>
  </si>
  <si>
    <t>100. Yıl Mah. Seyranbağları, Bağlar Cad No: 226-A</t>
  </si>
  <si>
    <t>Sokullu Mehmet Paşa Mh Sokullu Mehmet Paşa Cd No82</t>
  </si>
  <si>
    <t>Alacaatlı Mah.3341. Sokak No: 1/4A-B-C</t>
  </si>
  <si>
    <t>Bekdik Mah. Yavuz Sultan Selim Cad. No: 205A</t>
  </si>
  <si>
    <t>Mustafa Asım Köksal Mah. Şifa Cad. No:19/D</t>
  </si>
  <si>
    <t>Gündoğdu Mah. Borsa Cad. No:19 A</t>
  </si>
  <si>
    <t>Kırmızıtoprak Mah. Basın Şehitleri Cad. No:67A C</t>
  </si>
  <si>
    <t>MJET PREFABRİK Ç.YOLU ADIYAMAN</t>
  </si>
  <si>
    <t>Yeni Mah. 3. Çevre Yolu No:357</t>
  </si>
  <si>
    <t>Hacıbey Mah.Ankara İstanbul Yolu Cad No:141/2</t>
  </si>
  <si>
    <t>NALLIHAN</t>
  </si>
  <si>
    <t>Mimar Sinan Mah. Özler Sok. No: 1B-AD</t>
  </si>
  <si>
    <t>PURSAKLAR</t>
  </si>
  <si>
    <t>Cumhuriyet Mah. Cumhuriyet Cad. No: 162B</t>
  </si>
  <si>
    <t>TURHAL</t>
  </si>
  <si>
    <t>Gazi Dede Mah Şehit Cemil Çelik Cad No: 24A</t>
  </si>
  <si>
    <t>ILGAZ</t>
  </si>
  <si>
    <t>Ayvalı Mah. Gazze Cad. No: 21A/A</t>
  </si>
  <si>
    <t>Aşağıhatipbağı Mah. Stad Sok. No:5A</t>
  </si>
  <si>
    <t>İNEBOLU</t>
  </si>
  <si>
    <t>Yeni Mah G.O.P Bulvarı No:35-A</t>
  </si>
  <si>
    <t>Hacı Hasan Mah. Cumhuriyet Cad. No: 55-B M</t>
  </si>
  <si>
    <t>Maraşal Fevzi Çakmak Mah. Cumhuriyet Cad. No:87/A</t>
  </si>
  <si>
    <t>Cumhuriyet Mah. Erek Cad. No: 24/Z101-Z102</t>
  </si>
  <si>
    <t>Erdoğan Akdağ Mah. Şehit Mustafa Doğan Cad.</t>
  </si>
  <si>
    <t>Maltepe Mah. Şehit Gönenç Cad. 5 İç Kapı No:41</t>
  </si>
  <si>
    <t>Aşağı Mah. Şevket Hokkaömeroğlu Bulv. No:11</t>
  </si>
  <si>
    <t>BOĞAZLIYAN</t>
  </si>
  <si>
    <t>Kızılırmak Mah. Atatürk Cad. No:B1/C1</t>
  </si>
  <si>
    <t>ZARA</t>
  </si>
  <si>
    <t>Turgut Reis Mah. Bağdat Cad. No:204/a</t>
  </si>
  <si>
    <t>Yeni Mah. Ankara Cad. No: 49A</t>
  </si>
  <si>
    <t>HAYMANA</t>
  </si>
  <si>
    <t>Karşıyaka Mah. Haymana Bulvarı No:152A</t>
  </si>
  <si>
    <t>Etiler Mah. Etiler Cad. No: 22A</t>
  </si>
  <si>
    <t>Aydınlıkevler Mah. Çevreli Cad. No:39A</t>
  </si>
  <si>
    <t>Yavuz Selim Mah. İzzet Özilhan Bulv. No:176/A</t>
  </si>
  <si>
    <t>TOMARZA</t>
  </si>
  <si>
    <t>Mutlukent Mah Angora Bulvarı No: 118-120</t>
  </si>
  <si>
    <t>Yukarı Dikmen Mah 639 Cadde No: 7A-7B-7C</t>
  </si>
  <si>
    <t>Gedikkaya Mah. Nihatbey Cad. C Blok No:117-119</t>
  </si>
  <si>
    <t>Cumhuriyet Mah. Atatürk Bulv. No:53/C-D-E</t>
  </si>
  <si>
    <t>TAŞOVA</t>
  </si>
  <si>
    <t>Emirefendi mah. Emirefendi Bulvarı no: 10 / 1</t>
  </si>
  <si>
    <t>Orta Mah. Atatürk Cad. No:22/A-B</t>
  </si>
  <si>
    <t>Sağlık Mah. Asya Sokak No: 7/17</t>
  </si>
  <si>
    <t>ŞABANÖZÜ</t>
  </si>
  <si>
    <t>Filyos/Hisarönü Mahallesi Park 6 Sokak No: 2/1A</t>
  </si>
  <si>
    <t>Kızılcaşar Mah. 4200. Cad. 39FG</t>
  </si>
  <si>
    <t>İstiklal Mah. İhsan Özmen Bulv No.205/B</t>
  </si>
  <si>
    <t>ORTAKÖY</t>
  </si>
  <si>
    <t>Akçay Mah. Ankara Cad. No: 25B</t>
  </si>
  <si>
    <t>Birlik Mah. 448. Cadde No: 48A</t>
  </si>
  <si>
    <t>Ragıp Tüzün Mah. Ragıp Tüzün Cad. No: 123</t>
  </si>
  <si>
    <t>Yenimahalle Mah. Atatürk 3. Kısım Bulvarı no:95A</t>
  </si>
  <si>
    <t>Yazır Mah. Beyhekim Cad. No:26 BC</t>
  </si>
  <si>
    <t>Şentepe Mahallesi Belde Caddesi No:10BA</t>
  </si>
  <si>
    <t>5000 Evler Cumhuriyet Mah. 79. Cadde No: 33CC</t>
  </si>
  <si>
    <t>Nizamiye Mah. AV.Bilal Demir Sok. Dış Kapı No:10</t>
  </si>
  <si>
    <t>Alanönü Mah. Hicri Sezen Cad. No:14/A</t>
  </si>
  <si>
    <t>Kaletepe Mah. Alpaslan Pehlivanlı Bulvarı No:28A</t>
  </si>
  <si>
    <t>Cumhuriyet Mah. Sakarya-1 Cad No:77/A-B</t>
  </si>
  <si>
    <t>KALENDERHANE MAH. ANKARA CADDESİ NO: 70-B09</t>
  </si>
  <si>
    <t>Ömerağa Mah. Gazi Yakup Satar Cad. NO:165</t>
  </si>
  <si>
    <t>Mehmet Akif Mah. Şehit Ali Aksu Cad. No:68AF</t>
  </si>
  <si>
    <t>Kuşdili Mah 1372 Sokak No:42</t>
  </si>
  <si>
    <t>Çarşı Mah. Zincirlikuyu Cad No: 40A / 40B</t>
  </si>
  <si>
    <t>Beyhekim Mah. Turgut Özal Cad. No:7/N</t>
  </si>
  <si>
    <t>Artıkabat Mah. Zübeyde Hanım Bulvarı No:65</t>
  </si>
  <si>
    <t>GÜMÜŞHACIKÖY</t>
  </si>
  <si>
    <t>Buğday Pazarı Mah Beşkavaklar Cad No: 31/13</t>
  </si>
  <si>
    <t>Sancak Mah Veysel Karani Cad No:88</t>
  </si>
  <si>
    <t>İzzet Baysal Mah. Zerdali Sok. No: 79A</t>
  </si>
  <si>
    <t>75.yıl Mah. Şehit Uzman Çavuş Turgut Gündüz Cad.</t>
  </si>
  <si>
    <t>Fatih Mah. Şehit Muhammet Maden Sok. No: 6A</t>
  </si>
  <si>
    <t>İşçi Blokları Mah. 1500 Cadde. NO:9/1</t>
  </si>
  <si>
    <t>Bala Mah. Süreyya Sıtkı Bektaş Cad No:3</t>
  </si>
  <si>
    <t>HACIBEKTAŞ</t>
  </si>
  <si>
    <t>Erenköy Mah. 1494.Sokak, No:3/A</t>
  </si>
  <si>
    <t>Seyrantepe Mah. Bağdat Cad. No: 73D</t>
  </si>
  <si>
    <t>Akşemsettin Mah. Bosna Cad. No:37A</t>
  </si>
  <si>
    <t>Oran Mahallesi Kudüs Caddesi No:1/20</t>
  </si>
  <si>
    <t>Osman Temiz Mah. Dikmen Cad. No: 285A</t>
  </si>
  <si>
    <t>Medrese Mah. Lise Cad. No:30C</t>
  </si>
  <si>
    <t>Ahi Evran Mah. Sivas Bulv. No:372</t>
  </si>
  <si>
    <t>Yaşamkent Mah. 1587. Cad. No:9</t>
  </si>
  <si>
    <t>Beyhekim Mah. Şafak Cad. no:59/C</t>
  </si>
  <si>
    <t>Tacin Mah 91. Cadde No:37/B</t>
  </si>
  <si>
    <t>Aşağı Öveçler Mah. 1332. Cadde No: 20A</t>
  </si>
  <si>
    <t>Sancaktepe Mah. 1572. Cad. No:13G</t>
  </si>
  <si>
    <t>Yeni Camii Mah. Bafra Cad No:104A/104B</t>
  </si>
  <si>
    <t>ALAÇAM</t>
  </si>
  <si>
    <t>Kemerkaya Mah.Ahmet Selim Teymur Sok No:5A</t>
  </si>
  <si>
    <t>İnönü Mah. Fatih Sultan Mehmet Bulvarı No:4</t>
  </si>
  <si>
    <t>Güneşevler Mah. Mehmet Akif Ersoy Cad. No:38/B</t>
  </si>
  <si>
    <t>Saraçlar Mah Stadyum Cad Kastamall AVM No: 40A-79</t>
  </si>
  <si>
    <t>Gelincik mahallesi Gelincik yolu caddesi no:8A</t>
  </si>
  <si>
    <t>Gümüşçay Mah. Gümüşçay Cad. NO:43A-B</t>
  </si>
  <si>
    <t>EYNESİL</t>
  </si>
  <si>
    <t>Evci mah. Terme Ünye cad. no:1</t>
  </si>
  <si>
    <t>TERME</t>
  </si>
  <si>
    <t>Merkez Mah. Belediye Cad. No: 1L</t>
  </si>
  <si>
    <t>BORÇKA</t>
  </si>
  <si>
    <t>19 Mayıs Mah DR.Bahattin Cad No:90A</t>
  </si>
  <si>
    <t>Kemerköprü Mah.  Arka Sokak No: 18/1</t>
  </si>
  <si>
    <t>Çaydüzü Mah. 445. Sokak No: 14</t>
  </si>
  <si>
    <t>İstasyon Mah.Adnan Menderes Cad No:1/A</t>
  </si>
  <si>
    <t>Bahçelievler Mah Gelibolu Sok No:3/1A</t>
  </si>
  <si>
    <t>Taşpınar Mah. İsmail Gaspralı Cad. No: 3/A</t>
  </si>
  <si>
    <t>Kızılay Mah. Gazi Mustafa Kemal Bulv. No: 23B</t>
  </si>
  <si>
    <t>Ekrem Orhon Mah Cumhuriyet Cad. No:3/13</t>
  </si>
  <si>
    <t>Üçtutlar Mah. Eşref Hoca Cad. No: 16A</t>
  </si>
  <si>
    <t>Mehmet Akif Ersoy Mah. Bağdat Cad. No:60/B 135-136</t>
  </si>
  <si>
    <t>Gülbahar Hatun Mah Gaziosmanpaşa Bulvarı 97/A</t>
  </si>
  <si>
    <t>Yeşiltepe Mah. 118. Sokak No: 4A</t>
  </si>
  <si>
    <t>AKDAĞMADENİ</t>
  </si>
  <si>
    <t>Anbar Mah. Ossman Kavuncu Bulv. No:394/C</t>
  </si>
  <si>
    <t>Servi mah. Atatürk Bulvarı no:35</t>
  </si>
  <si>
    <t>Yazır Mahallesi Türkerler Sokak No:30/A</t>
  </si>
  <si>
    <t>Gödene Mah. Şaheser Sok. No:2/A</t>
  </si>
  <si>
    <t>Feritpaşa Mah. Kerkük Cad. No:16/B</t>
  </si>
  <si>
    <t>Hacıveyiszade Mah. Şeyhülema Recepağa Cd. No:207/C</t>
  </si>
  <si>
    <t>Bosna Hersek Mah. Mesaj Cad. No:42/D</t>
  </si>
  <si>
    <t>Bosna Hersek Mah Fatih Sok No:1/N</t>
  </si>
  <si>
    <t>Karşıyaka Mah. Haymana Bulvarı No: 220A</t>
  </si>
  <si>
    <t>Yeni Mah. Atatürk Bulvarı No:121/A</t>
  </si>
  <si>
    <t>Mercantepe Mah. Nacidemirağ Cad. NO:59/A-B-C</t>
  </si>
  <si>
    <t>DİVRİĞİ</t>
  </si>
  <si>
    <t>Atatürk Mah.Dış Kapı No:23 İç Kapı No: 3-4</t>
  </si>
  <si>
    <t>VEZİRKÖPRÜ</t>
  </si>
  <si>
    <t>Zümrüt Mah. Bekir Yıldız Bulv. No:108</t>
  </si>
  <si>
    <t>Musazade Mah. Musa Ulutaş Cad. No:34/11</t>
  </si>
  <si>
    <t>Cedit Mah. Cumhuriyet Cad. No:7/A</t>
  </si>
  <si>
    <t>Ahi Mesut Mah. Zirve Cad. No:18/1</t>
  </si>
  <si>
    <t>Yakut Mah.Elisevler Cad. No: 2/A</t>
  </si>
  <si>
    <t>Yenidoğan Mah.Kayabağlar Cad.No:43</t>
  </si>
  <si>
    <t>Çayyolu Mah. 2661/1 Sokak No: 3E/3-3E/4</t>
  </si>
  <si>
    <t>Göksu Mah. 2. İnönü Cad. No:20.A.20.B.20.C</t>
  </si>
  <si>
    <t>Mevlana Mah.Mehmet Timuçin Cad.No:2</t>
  </si>
  <si>
    <t>Batıkent Mah. Kardak Sok.No:1/A</t>
  </si>
  <si>
    <t>İstiklal Mah. Meydan Cad. No:10/A</t>
  </si>
  <si>
    <t>ALMUS</t>
  </si>
  <si>
    <t>Üçtutlar Mahallesi Samsun Yolu Bulvarı No: 13B</t>
  </si>
  <si>
    <t>Şehitlik Mah. Emine Işınsu Cad. No: 11A</t>
  </si>
  <si>
    <t>Doğuş Mah. Bülbülderesi Cad. No: 77A</t>
  </si>
  <si>
    <t>Saray Cumhuriyet Mah. Şehit Ahmet Edem Cad. No:6/D</t>
  </si>
  <si>
    <t>Yeşil Mah. Erkilet Bulvarı No:202/A</t>
  </si>
  <si>
    <t>Vadişehir Mah. Özlem Cad. No:74/AA</t>
  </si>
  <si>
    <t>Uluoymak Mah 71.Sokak No:24/A</t>
  </si>
  <si>
    <t>GEDİZ</t>
  </si>
  <si>
    <t>Seğmenler Mah. Cumhuriyet Cad. No: 144AA</t>
  </si>
  <si>
    <t>Hacı Recep Mahallesi Ayaş Ankara Bulvarı No: 27A</t>
  </si>
  <si>
    <t>AYAŞ</t>
  </si>
  <si>
    <t>Yukarı Mah. Fatih Cad. No:56</t>
  </si>
  <si>
    <t>Yeni Mahalle Mah. Ali Gaffar Okkan Cad.No:89B</t>
  </si>
  <si>
    <t>Teyyaredüzü Mah Karabekir Sok Dış Kapı No:3438A</t>
  </si>
  <si>
    <t>Karşıyaka Mah. Ulus 1 Sokak No:1</t>
  </si>
  <si>
    <t>Yaylacık Mah. İlkadım Cad No:9/B</t>
  </si>
  <si>
    <t>Dürbinal Mah. İnönü Cad No:15</t>
  </si>
  <si>
    <t>1 Nolu Beşirli Mah. Eyüpoğlu Cad No:17/A</t>
  </si>
  <si>
    <t>Cumhuriyet Mah. No:195/A</t>
  </si>
  <si>
    <t>Çarşı Mah Hükümet Cad No:26/A</t>
  </si>
  <si>
    <t>SÜRMENE</t>
  </si>
  <si>
    <t>Kılıçarslan Mah. Muhsin Yazıcıoğlu Bulvarı No:13A</t>
  </si>
  <si>
    <t>Aktaş Mah. Akıncı Sok. No: 72/A</t>
  </si>
  <si>
    <t>Beytepe Mah. 5388. Sokak No: 1C-1</t>
  </si>
  <si>
    <t>Karşıyaka Mahallesi 492. Cadde No: 74</t>
  </si>
  <si>
    <t>Tavlusun Mah. Gaffar Okkan Bulv No:82/A-B</t>
  </si>
  <si>
    <t>Yukarı Bahçelievler Mah. Şehit Mehmet Aras Sok.</t>
  </si>
  <si>
    <t>Üniversiteler Mah. 1597. Cad. No: 12/23</t>
  </si>
  <si>
    <t>Gölevi mah. Devlet Sahil yolu cad.No:825A</t>
  </si>
  <si>
    <t>YAYLACIK MAH.ADNAN MENDERES CAD.İKİKULE BİNA NO:91</t>
  </si>
  <si>
    <t>Çayırhan Mah. Atatürk Bulvarı No: 30A</t>
  </si>
  <si>
    <t>Atatürk Mah. Ankara Bulvarı No:105/39</t>
  </si>
  <si>
    <t>Toklu Mah.Yavuz Selim Bulv. No : 408/A</t>
  </si>
  <si>
    <t>Sağlık Mah. Şehitler Cad. No: 66A</t>
  </si>
  <si>
    <t>Cumhuriyet Mah. Hürriyet Cad. No:13A</t>
  </si>
  <si>
    <t>Karşıyaka Mah. 24 Şubat Cad. No:15</t>
  </si>
  <si>
    <t>Şeyh Şamil Mah. Tacer Sokak No:18/A</t>
  </si>
  <si>
    <t>Beştepe Mah 9 Cadde No:2/2</t>
  </si>
  <si>
    <t>Hacılar Meydanı Mah. Sefa Sok.</t>
  </si>
  <si>
    <t>Esentepe Mah. Atatürk Cad. No:38/A-B-C-D-E</t>
  </si>
  <si>
    <t>Zincirlikuyu Mah. 100.Yıl Bulvarı No:38/A</t>
  </si>
  <si>
    <t>Kuzey Yıldızı Mah. Cevdetpaşa Sok. NO:66</t>
  </si>
  <si>
    <t>Atatepe Mah. Toki Yolu Cad. No: 8B</t>
  </si>
  <si>
    <t>29 Ekim Mah. Melih Gökçek Bulvarı No: 5AA</t>
  </si>
  <si>
    <t>Alacaatlı Mahallesi 3602. Cadde No:1/65-227</t>
  </si>
  <si>
    <t>30 Ağustos Mah. Osman Kavuncu Bulvarı No:449/B</t>
  </si>
  <si>
    <t>Fatih Mah. Kadir Has Bulv. No:151</t>
  </si>
  <si>
    <t>Sakarya Mah.  Atatürk Cd. No:15</t>
  </si>
  <si>
    <t>ÇİFTELER</t>
  </si>
  <si>
    <t>Yenidoğan Mah. 3199.Sokak No:5/C</t>
  </si>
  <si>
    <t>5000 Evler 75. Yıl Mah. 107.Cadde No:25B</t>
  </si>
  <si>
    <t>Meşrutiyet Mah. Atatürk Bulvarı No:135-2</t>
  </si>
  <si>
    <t>Alacaatlı Mah.Kanuni Sultan Süleyman Bulv No:128BE</t>
  </si>
  <si>
    <t>Söğütlü Mah. Atatürk Blv.No:70/4</t>
  </si>
  <si>
    <t>Toros Mah. 94473 Sokak No:2/A</t>
  </si>
  <si>
    <t>Yalı Mah. Atatürk Caddesi No:37A</t>
  </si>
  <si>
    <t>AYANCIK</t>
  </si>
  <si>
    <t>İstiklal Mah. Recep Tayyip Erdoğan Bulvarı No:84A</t>
  </si>
  <si>
    <t>Hüseyingazi Mah. Mamak Çarşı İçi Cad. No:62C</t>
  </si>
  <si>
    <t>İrfanlı Mah. Fatih Cad. No:3/A</t>
  </si>
  <si>
    <t>OF</t>
  </si>
  <si>
    <t>İslampaşa Mah. Menderes Bulvarı No : 548A</t>
  </si>
  <si>
    <t>Yeni Batı Mah.</t>
  </si>
  <si>
    <t>Merkez Mah. Şehit Mehmet Serkan Meşe 1 Sok. No:16A</t>
  </si>
  <si>
    <t>ÇATALZEYTİN</t>
  </si>
  <si>
    <t>Pınarönü Mah. Karabulut Sok. No:1</t>
  </si>
  <si>
    <t>Yukarı Bahçelievler Mah. Aşkabat Cad.(Eski 7.Cad.)</t>
  </si>
  <si>
    <t>Güzelyurt Mah. Ürgüp Cad. No:81/A-B-C-D</t>
  </si>
  <si>
    <t>Burunucu Mah. Devlet Sahil Yolu Cad. No:565B</t>
  </si>
  <si>
    <t>Beştepe Mah. Alparslan Türkeş Cad. No:47-9</t>
  </si>
  <si>
    <t>Ahi Evran Mah. Zübeyde Hanım Cad. Vizyon No:3/C</t>
  </si>
  <si>
    <t>Meşrutiyet Mahallesi Meşrutiyet Caddesi No:15A</t>
  </si>
  <si>
    <t>Göksu Mah. Ertuğrul Bey Cad. No:2/10</t>
  </si>
  <si>
    <t>Mutlukent Mah. 2049. Sokak No:12/13-14-15</t>
  </si>
  <si>
    <t>Kılıçarslan Mah. No:38/A-B</t>
  </si>
  <si>
    <t>Aşkan Mah. Fatih Cad. No:3/A</t>
  </si>
  <si>
    <t>Buhara Mah. Barış Cad. No:79/A</t>
  </si>
  <si>
    <t>Keçeciler Mah Ali Ulvi Kurucu Cad No:91/B</t>
  </si>
  <si>
    <t>Sancak Mah. Taç Mahal Cad. No:20/2A</t>
  </si>
  <si>
    <t>Şeyh Şamil Mah.Eyüp Sultan Cad No:54</t>
  </si>
  <si>
    <t>Alsancak Mah. Şehit Hikmet Özer Cad. No:132A</t>
  </si>
  <si>
    <t>Turkuaz Mah. 4321. Sok. No:1 İç Kapı No: 10</t>
  </si>
  <si>
    <t>Üniversiteler Mah. 1597. Cad. No:3-102</t>
  </si>
  <si>
    <t>Kışla Mah. 959 Sok. Blok 1-A No:25,26</t>
  </si>
  <si>
    <t>Pazar Mah. Yeşil Sok.</t>
  </si>
  <si>
    <t>PAZAR</t>
  </si>
  <si>
    <t>Emniyet Mah. Afet Sok. No:22-13</t>
  </si>
  <si>
    <t>Ayrancı Mahallesi Elçi Caddesi No: 11A</t>
  </si>
  <si>
    <t>Yıldızhan Mah. Koca Yusuf Sok. No: 2/13</t>
  </si>
  <si>
    <t>ALACA</t>
  </si>
  <si>
    <t>Meşrutiyet Mah. Meşrutiyet Cad. No: 16A</t>
  </si>
  <si>
    <t>Kale Mah. Ata Cad. No:126/A-B</t>
  </si>
  <si>
    <t>Fatih Mahallesi Kültür Caddesi No:10-O</t>
  </si>
  <si>
    <t>Çarşı Mah. Gülbaharhatun Cad. Huzur Plaza A BLOK</t>
  </si>
  <si>
    <t>VAKFIKEBİR</t>
  </si>
  <si>
    <t>Gökmeydan Mah. Canay Sokak No: 3/AA-AB-AC-BA-</t>
  </si>
  <si>
    <t>Batıkent Mahallesi Bülent Ecevit Bulvarı No:14/BB</t>
  </si>
  <si>
    <t>Kazım Özalp Mahallesi İzci Sokak No: 2A</t>
  </si>
  <si>
    <t>Üniversiteler Mah 1597. Caddesi No:3/42-88</t>
  </si>
  <si>
    <t>Müftü Mahallesi Meydan Başı Caddesi No:51</t>
  </si>
  <si>
    <t>19 Mayıs Mah. Hacı Ali Ekinci Bulvarı No:6A6B</t>
  </si>
  <si>
    <t>Atatürk Mah. Halil Bayraktar Cad.No:35A</t>
  </si>
  <si>
    <t>Cumhuriyet Mah İsmet İnönü Cad No:39</t>
  </si>
  <si>
    <t>BOZKIR</t>
  </si>
  <si>
    <t>Bağlıca Mah. Güzelköy Cad. No:19/C-CA</t>
  </si>
  <si>
    <t>Kalkancı Mah Mehtap Cad Dış Kapı No:57</t>
  </si>
  <si>
    <t>Selçuk Mah.Hoca Cihan Tekke Cad. No:72 A</t>
  </si>
  <si>
    <t>Barış Mah Göztepe Cad No: 14/1</t>
  </si>
  <si>
    <t>Sundura Mah. Artvin Cad. Dış Kapı No 32AB</t>
  </si>
  <si>
    <t>Mevlana Mahallesi, Velioğlu Caddesi, No:16</t>
  </si>
  <si>
    <t>Bayır Mah.Kemal Güneş Cad.No:92/Z11</t>
  </si>
  <si>
    <t>Plevne Mah. Çayboyu Sok. No: 2A-21</t>
  </si>
  <si>
    <t>Gürler Mah. Alparslan Türkeş Bulvarı No:178-A</t>
  </si>
  <si>
    <t>Ehlibeyt Mah. Ceyhun Atuf Kansu Cad. No:126/E-F</t>
  </si>
  <si>
    <t>Kocatepe Mah. Eren Yıldırım Bul. No:47</t>
  </si>
  <si>
    <t>KAZIM ÖZALP MAH. FİLİSTİN CAD.NO:24/A</t>
  </si>
  <si>
    <t>Vişnelik Mah.Öğretmenler Caddesi No:54/A</t>
  </si>
  <si>
    <t>Kazım Özalp Mah.Koza Sok.No:29</t>
  </si>
  <si>
    <t>Akbilek Mah. Kemal Nehrozoğlu Cad. No:37/A-B</t>
  </si>
  <si>
    <t>Karşıyaka Mah. Orhan Gazi Bulvarı No:138/2A</t>
  </si>
  <si>
    <t>Merkez Mah. 19 Eylül Cad. No:13A-13B / 29-40</t>
  </si>
  <si>
    <t>ESPİYE</t>
  </si>
  <si>
    <t>Atatürk Mah. Leylak Sok. No:2/1E-1F-1G-1H</t>
  </si>
  <si>
    <t>ÇUBUK</t>
  </si>
  <si>
    <t>PROF.AHMET TANER KIŞLALI MAH.2873.CAD. NO:4/B</t>
  </si>
  <si>
    <t>Şahincili Mah. Doğakent 8-1</t>
  </si>
  <si>
    <t>Burç Mah.Seval Cd. No:90-C-D</t>
  </si>
  <si>
    <t>Kardelen Mah.2075 Sokak A Blok No:30-A</t>
  </si>
  <si>
    <t>Semerkant Mah.GOP Bulvarı No:136A</t>
  </si>
  <si>
    <t>Tepebaşı Mah. Kapuz Cad. No:16A</t>
  </si>
  <si>
    <t>KUZEYKENT MAH. HALİT BEY CAD.NO:14 K/A-B</t>
  </si>
  <si>
    <t>Taşpınar Mah Küme Evleri No: 542C-1</t>
  </si>
  <si>
    <t>Konutkent Mah. 2965. cad. No:34/1</t>
  </si>
  <si>
    <t>Mutlukent Mh. Doğan Taşdelen Blv. No:97/17</t>
  </si>
  <si>
    <t>Şenlik Mahallesi Nuri Pamir Caddesi No: 28D</t>
  </si>
  <si>
    <t>KÖŞK MAH. ŞHT. ÜTĞM. MUSTAFA ŞİMŞEK BUL.</t>
  </si>
  <si>
    <t>BAHÇELİEVLER MAH. ATATÜRK BLV.NO:26/E</t>
  </si>
  <si>
    <t>MUSTAFA KEMAL MAH.FATİH CAD.NO:19/E-F</t>
  </si>
  <si>
    <t>KIZILCAŞAR MAH. İNCEK ŞEHİT SELİM KİRAZ CAD.</t>
  </si>
  <si>
    <t>MUSTAFA KEMAL MAH.2127 SOK.NO:9/3-4-A-B</t>
  </si>
  <si>
    <t>Merkez Mahallesi Yeni PTT Sokak No:5-1</t>
  </si>
  <si>
    <t>ALAPLI</t>
  </si>
  <si>
    <t>Büyükbölcek Mah Büyükbölcek Cad No:69</t>
  </si>
  <si>
    <t>Kurtuluş Mah. Fiskobirlik caddesi no:5D5E5F</t>
  </si>
  <si>
    <t>ORGENERAL TURAL MAH. YENİ MERAM CAD.43/A</t>
  </si>
  <si>
    <t>Çukurçayır Mah İpekyolu Cad. No:20/D</t>
  </si>
  <si>
    <t>Yıldızlı Mah. Sahil Yolu Cad. No:67/A</t>
  </si>
  <si>
    <t>Selçuk Mah. Kaide Sok. No:6A-6B</t>
  </si>
  <si>
    <t>BEYHEKİM MAH. GÜLAÇAR SOK. NO: 55/B</t>
  </si>
  <si>
    <t>ZAFER MAH AHMET ÖZCAN CAD. NO:191</t>
  </si>
  <si>
    <t>Hacıhasan Mah. Cumhuriyet Cad. No:87/A</t>
  </si>
  <si>
    <t>İlkbahar Mah. Doğukent Cad. No:739A, 739B, 739C</t>
  </si>
  <si>
    <t>Barbaros Mah. Hakimiyet Cad.No:51</t>
  </si>
  <si>
    <t>Gönüloğlu Mah Sivas Cad. No: 124/A/B</t>
  </si>
  <si>
    <t>SUŞEHRİ</t>
  </si>
  <si>
    <t>100.Yıl Mah. Kayseri Cad. 55/A-B</t>
  </si>
  <si>
    <t>YAHYALI</t>
  </si>
  <si>
    <t>Çarşı Mahallesi 9.Cadde İnönü Sk No:10</t>
  </si>
  <si>
    <t>Erzurum Kongre Cad Şehit Osman Avcı No:9/21</t>
  </si>
  <si>
    <t>Beytepe Mah Hafsa Sultan Cad No: 24-1</t>
  </si>
  <si>
    <t>Mutlukent Mahallesi 3450. Sokak No: 1DA</t>
  </si>
  <si>
    <t>Yayla Mahallesi Yozgat Bulvarı No: 20</t>
  </si>
  <si>
    <t>Kuzeykent Mahallesi Kamil Demircioğlu Caddesi No:</t>
  </si>
  <si>
    <t>Yazır Mahallesi Öztopraklar Sokak No:13</t>
  </si>
  <si>
    <t>Osmangazi Mah. Basın Şehitleri Cad. No:174/G</t>
  </si>
  <si>
    <t>Bahçelievler Mahallesi, 23.Cadde, No:32/7</t>
  </si>
  <si>
    <t>Yenibağlar Mah Prof Dr Yilmaz Büyükerşen Bul</t>
  </si>
  <si>
    <t>Alacaatlı Mahallesi Kanuni Sultan Süleyman Bulvarı</t>
  </si>
  <si>
    <t>SERHAT MAH. MEHMET AKİF ERSOY CAD.</t>
  </si>
  <si>
    <t>CUBES ANKARA MM MİGROS</t>
  </si>
  <si>
    <t>Çukurambar Mahallesi 1424. Cadde No: 6/2-18</t>
  </si>
  <si>
    <t>Emniyet Mahallesi Silahtar Caddesi No: 57-1</t>
  </si>
  <si>
    <t>Fatih Mahallesi Alpaslan Türkeş Caddesi</t>
  </si>
  <si>
    <t>BEDESTEN TAVŞANLI KÜTAHYA M</t>
  </si>
  <si>
    <t>Durak Mahallesi Kemal Zeytinoğlu Cad No:75</t>
  </si>
  <si>
    <t>Zübeyde Hanım Mahallesi Turgut Özal 1 Bulvarı</t>
  </si>
  <si>
    <t>Yeni Mah. Ankara Cad. No:2125/A-B-C-E-F-G-H</t>
  </si>
  <si>
    <t>Kardeşler Mahallesi, Bağdat Caddesi</t>
  </si>
  <si>
    <t>KARANFİL SK KIZILAY ANKARA M</t>
  </si>
  <si>
    <t>Meşrutiyet Mahallesi Karanfil Sokak No: 2E-1</t>
  </si>
  <si>
    <t>YALINCAK MAH. ANA CADDE B BLOK</t>
  </si>
  <si>
    <t>PAZARSUYU BULANCAK GİRESUN M</t>
  </si>
  <si>
    <t>Güzelyalı Mah. Güzelyalı Cad. Dış Kapı No:114-114A</t>
  </si>
  <si>
    <t>İSMETPAŞA BULANCAK GİRESUN M</t>
  </si>
  <si>
    <t>İsmetpaşa Mahallesi Ahmet Fatoğlu caddesi No : 9A</t>
  </si>
  <si>
    <t>YAŞAMKENT MACROCENTER S</t>
  </si>
  <si>
    <t>Yaşamkent Mahallesi 3263. Cadde No:13-1</t>
  </si>
  <si>
    <t>Evliya Çelebi Mah. Ali Candan Cad. D Blok No:8 E</t>
  </si>
  <si>
    <t>Ümit Mahallesi Doğan Taşdelen Bulvarı No: 18a</t>
  </si>
  <si>
    <t>ÇEVREYOLU ORDU M MİGROS</t>
  </si>
  <si>
    <t>KARŞIYAKA MAH. ŞEHİT YALÇIN YAMANER CAD. NO : 85</t>
  </si>
  <si>
    <t>Gemiyani Mah. Şükrü Gürleyen Cad. No:21/1</t>
  </si>
  <si>
    <t>TÜRKELİ</t>
  </si>
  <si>
    <t>ALACAATLI MAH. 3341 SOK.</t>
  </si>
  <si>
    <t>KAYMAKLI MAH. ÇUKRÇAYIR YOLU CAD.NO:28</t>
  </si>
  <si>
    <t>GÖDENE MAHALLESİ ŞAHESER SOK NO:2/A</t>
  </si>
  <si>
    <t>BÜYÜKDERE MAH. SEVDİK SOK.</t>
  </si>
  <si>
    <t>ERENKÖY MAH. 1494.SOK.</t>
  </si>
  <si>
    <t>İLDEM CUMHURİYET MAH. TEKİN SOK. NO:120/Z01</t>
  </si>
  <si>
    <t>ETLİK MAH. AYVALI CAD.</t>
  </si>
  <si>
    <t>KAŞMİR ERYAMAN MACROCENTER S</t>
  </si>
  <si>
    <t>Göksu Mahallesi 5352. Cadde No: 1F-5</t>
  </si>
  <si>
    <t>KURTULUŞ MAH. İRFAN GÜMÜŞEL CAD.</t>
  </si>
  <si>
    <t>MİMARSİNAN MAH. BAĞIŞLI SOK.</t>
  </si>
  <si>
    <t>DELİKLİTAŞ MAH. DR. HİLMİ SOK.</t>
  </si>
  <si>
    <t>MİMARSİNAN MAH. ATATÜRK BULV.</t>
  </si>
  <si>
    <t>DR SADIK AHMET CD AMASYA MM</t>
  </si>
  <si>
    <t>Hacılar Meydanı Mahallesi, Sadık Ahmet Caddesi,</t>
  </si>
  <si>
    <t>YILDIZEVLER MAH. KISINEV CAD.</t>
  </si>
  <si>
    <t>MJET SİGORTA ÇORUM</t>
  </si>
  <si>
    <t>GÜLABİBEY MAH. CEMİLBEY CAD.</t>
  </si>
  <si>
    <t>ABUZER BEHİŞ ADIYAMAN M</t>
  </si>
  <si>
    <t>Altınşehir Mah. Gölbaşı Yolu No:38 A</t>
  </si>
  <si>
    <t>HASTANE BOLU M MİGROS</t>
  </si>
  <si>
    <t>Sağlık Mahallesi Cengaver Sokak No: 1A</t>
  </si>
  <si>
    <t>BEYBAĞI TOKAT M MİGROS</t>
  </si>
  <si>
    <t>Perakende Mahallesi, Gazi Osman Paşa Bulvarı</t>
  </si>
  <si>
    <t>ÜNİVERSİTE TOKAT M MİGROS</t>
  </si>
  <si>
    <t>Yeşilırmak Mahallesi, Sıtkı Ulaşoğlu Bulvarı,</t>
  </si>
  <si>
    <t>CAREL PCO YÜKSEK BASINÇ SENSÖRÜ</t>
  </si>
  <si>
    <t>SANDIKLI AFYON M MİGROS</t>
  </si>
  <si>
    <t>MJET ÜNİVERSİTE AFYON</t>
  </si>
  <si>
    <t>ADNAN KAHVECİ CADDESİ AFYON MM</t>
  </si>
  <si>
    <t>MJET BİLGİ CAD. AFYONKARAHİSAR</t>
  </si>
  <si>
    <t>MJET KAYADİBİ AFYON</t>
  </si>
  <si>
    <t>MJET TOKİ DİNAR AFYON</t>
  </si>
  <si>
    <t>AFYONKARAHİSAR TRİO MM MİGROS</t>
  </si>
  <si>
    <t>BULVAR SANDIKLI AFYON M MİGROS</t>
  </si>
  <si>
    <t>MJET NAZMİ SAATÇİ MH. AFYON</t>
  </si>
  <si>
    <t>İNKILAP MH. EMİRDAĞ AFYON M</t>
  </si>
  <si>
    <t>MJET ERENLER MAH.AFYON</t>
  </si>
  <si>
    <t>KANLICA MH AFYONKARAHİSAR M</t>
  </si>
  <si>
    <t>MJET DÖRTYOL MH AFYONKARAHİSAR</t>
  </si>
  <si>
    <t>MJET BOLVADİN AFYONKARAHİSAR</t>
  </si>
  <si>
    <t>GÜNEŞ HATUN CADDESİ AFYON M</t>
  </si>
  <si>
    <t>EMİRDAĞ AFYON M MİGROS</t>
  </si>
  <si>
    <t>UYDUKENT AFYON M MİGROS</t>
  </si>
  <si>
    <t>MJET AZİZİYE MH EMİRDAĞ AFYON</t>
  </si>
  <si>
    <t>5M AFYON</t>
  </si>
  <si>
    <t>DİNAR AFYON M MİGROS</t>
  </si>
  <si>
    <t>YEŞİLYOL AFYON M MİGROS</t>
  </si>
  <si>
    <t>ATAKÖY AFYON MM MİGROS</t>
  </si>
  <si>
    <t>BATI AKDENİZ</t>
  </si>
  <si>
    <t>Dörtyol Mah. Turgut Özal Cad. No:40/1</t>
  </si>
  <si>
    <t>Dinaryum Avm CamiKebir mah.Yeni garaj mevkii no 5</t>
  </si>
  <si>
    <t>Cumhuriyet Mah. Yeşil Yol Cad. No:33/A</t>
  </si>
  <si>
    <t>Esentepe Mah. Adnan Menderes Bul. No:74</t>
  </si>
  <si>
    <t>Ece Mah İstasyon Cd No 51/A-B</t>
  </si>
  <si>
    <t>Erenler Mah. 2753. Sokak. N0:19/A</t>
  </si>
  <si>
    <t>Selçuklu Mah.Adnan Kahvesi Cad.No:42/M</t>
  </si>
  <si>
    <t>Dervişpaşa Mah.Ordu Bulvarı No:25/A-B</t>
  </si>
  <si>
    <t>Kayadibi Mah. İzmir İstasyon Cad. NO:22/A</t>
  </si>
  <si>
    <t>Korubaşı Mah. Acar Sok.Abdullah Acar B2 Blok No:28</t>
  </si>
  <si>
    <t>Cumhuriyet Mah.Afyon Çevre Yolu No:3030</t>
  </si>
  <si>
    <t>Çakır Mah. M.Kemal Cad. No:28A</t>
  </si>
  <si>
    <t>Nazmi Saatçi Mah. 588 Sok. No:20/A, 44/A</t>
  </si>
  <si>
    <t>İnkılap Mah. Selmanı Farisi Cad. No:69A</t>
  </si>
  <si>
    <t>Erenler Mah. 2775 Sokak No:24/B</t>
  </si>
  <si>
    <t>Kanlıca Mah. 250 Sokak No:3A</t>
  </si>
  <si>
    <t>Dörtyol Mah. 2085 Sok. No:5C</t>
  </si>
  <si>
    <t>Lala Sinan Paşa Mah İhsaniye Cad No:3/7</t>
  </si>
  <si>
    <t>Selçuklu Mah. 1473 Sok. No:2/3A</t>
  </si>
  <si>
    <t>YENİ MAHALLE ESKİŞEHİR CADDESİ NO:48/1</t>
  </si>
  <si>
    <t>Selçuklu Mah. Adnan Kahveci Cad. No:19/A/Z</t>
  </si>
  <si>
    <t>Aziziye Mahallesi Eskişehir Caddesi No:151/A-B</t>
  </si>
  <si>
    <t>AFYONKARAHİSAR</t>
  </si>
  <si>
    <t>DİNAR</t>
  </si>
  <si>
    <t>SANDIKLI</t>
  </si>
  <si>
    <t>EMİRDAĞ</t>
  </si>
  <si>
    <t>BOLVADİN</t>
  </si>
  <si>
    <t>GÖLBAŞI DM</t>
  </si>
  <si>
    <t>DM</t>
  </si>
  <si>
    <t>HİDROFOR CONTASI</t>
  </si>
  <si>
    <t>KORU ALACAATLI MACROCENTER</t>
  </si>
  <si>
    <t>DRENAJ REZİSTANSI</t>
  </si>
  <si>
    <t>2026 FIYAT</t>
  </si>
  <si>
    <t>KAYNAK TELİ</t>
  </si>
  <si>
    <t>TERMOMETRE</t>
  </si>
  <si>
    <t>Ø63 Gliserinli paslanmaz gövdeli cl:1 termometre</t>
  </si>
  <si>
    <t>4 METRE</t>
  </si>
  <si>
    <t>TOPÇU MH ETİMESGUT ANKARA M</t>
  </si>
  <si>
    <t>BULVAR BEYTEPE MACROCENTER</t>
  </si>
  <si>
    <t>Beytepe Mahallesi Plevne Caddesi No: 6AG</t>
  </si>
  <si>
    <t>ADRES ETLİK ANKARA M MİGROS</t>
  </si>
  <si>
    <t>Işınlar Mahallesi Akşemsettin Caddesi No: 21K</t>
  </si>
  <si>
    <t>BİRİM</t>
  </si>
  <si>
    <t>DOĞUKARDENZ/KUZEYDOĞU</t>
  </si>
  <si>
    <t>Ilce Adi</t>
  </si>
  <si>
    <t>Il 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</si>
</sst>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T_L_-;\-* #,##0.00\ _T_L_-;_-* &quot;-&quot;??\ _T_L_-;_-@_-"/>
    <numFmt numFmtId="168" formatCode="#,##0.00\ &quot;EURO&quot;"/>
    <numFmt numFmtId="169" formatCode="00000"/>
    <numFmt numFmtId="170" formatCode="_-* #,##0.00\ [$₺-41F]_-;\-* #,##0.00\ [$₺-41F]_-;_-* &quot;-&quot;??\ [$₺-41F]_-;_-@_-"/>
    <numFmt numFmtId="171" formatCode="_-* #,##0.00\ &quot;TL&quot;_-;\-* #,##0.00\ &quot;TL&quot;_-;_-* &quot;-&quot;??\ &quot;TL&quot;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b/>
      <sz val="10"/>
      <name val="Arial Tur"/>
      <charset val="162"/>
    </font>
    <font>
      <b/>
      <sz val="12"/>
      <name val="Arial Tur"/>
      <charset val="162"/>
    </font>
    <font>
      <sz val="12"/>
      <name val="Arial Tur"/>
      <charset val="162"/>
    </font>
    <font>
      <b/>
      <sz val="10"/>
      <name val="Arial Tur"/>
    </font>
    <font>
      <b/>
      <sz val="10"/>
      <color indexed="10"/>
      <name val="Arial Tur"/>
      <charset val="162"/>
    </font>
    <font>
      <b/>
      <sz val="10"/>
      <color indexed="10"/>
      <name val="Arial Tur"/>
    </font>
    <font>
      <sz val="10"/>
      <name val="Arial"/>
      <family val="2"/>
      <charset val="162"/>
    </font>
    <font>
      <sz val="10"/>
      <color theme="1"/>
      <name val="Calibri"/>
      <family val="2"/>
      <charset val="162"/>
      <scheme val="minor"/>
    </font>
    <font>
      <sz val="11"/>
      <color theme="1"/>
      <name val="Aptos Narrow"/>
      <family val="2"/>
      <charset val="162"/>
    </font>
    <font>
      <b/>
      <sz val="14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0" fontId="14" fillId="0" borderId="0"/>
    <xf numFmtId="0" fontId="15" fillId="0" borderId="0"/>
    <xf numFmtId="0" fontId="6" fillId="0" borderId="0"/>
  </cellStyleXfs>
  <cellXfs count="90">
    <xf numFmtId="0" fontId="0" fillId="0" borderId="0" xfId="0"/>
    <xf numFmtId="0" fontId="7" fillId="2" borderId="0" xfId="1" applyFill="1"/>
    <xf numFmtId="0" fontId="8" fillId="2" borderId="0" xfId="1" applyFont="1" applyFill="1" applyAlignment="1">
      <alignment horizontal="center"/>
    </xf>
    <xf numFmtId="169" fontId="7" fillId="2" borderId="0" xfId="1" applyNumberFormat="1" applyFill="1" applyAlignment="1">
      <alignment horizontal="center" vertical="center"/>
    </xf>
    <xf numFmtId="0" fontId="7" fillId="2" borderId="0" xfId="1" applyFill="1" applyAlignment="1">
      <alignment horizontal="center" vertical="center"/>
    </xf>
    <xf numFmtId="4" fontId="8" fillId="2" borderId="0" xfId="1" applyNumberFormat="1" applyFont="1" applyFill="1" applyAlignment="1">
      <alignment horizontal="center" vertical="center"/>
    </xf>
    <xf numFmtId="168" fontId="12" fillId="3" borderId="4" xfId="1" applyNumberFormat="1" applyFont="1" applyFill="1" applyBorder="1" applyAlignment="1">
      <alignment horizontal="center" vertical="center"/>
    </xf>
    <xf numFmtId="0" fontId="7" fillId="3" borderId="4" xfId="1" applyFill="1" applyBorder="1" applyAlignment="1">
      <alignment horizontal="center" vertical="center"/>
    </xf>
    <xf numFmtId="0" fontId="7" fillId="4" borderId="4" xfId="1" applyFill="1" applyBorder="1" applyAlignment="1">
      <alignment horizontal="center" vertical="center"/>
    </xf>
    <xf numFmtId="168" fontId="12" fillId="4" borderId="4" xfId="1" applyNumberFormat="1" applyFont="1" applyFill="1" applyBorder="1" applyAlignment="1">
      <alignment horizontal="center" vertical="center"/>
    </xf>
    <xf numFmtId="0" fontId="7" fillId="3" borderId="4" xfId="1" applyFill="1" applyBorder="1" applyAlignment="1">
      <alignment horizontal="center" vertical="center" wrapText="1"/>
    </xf>
    <xf numFmtId="49" fontId="7" fillId="3" borderId="4" xfId="1" applyNumberFormat="1" applyFill="1" applyBorder="1" applyAlignment="1">
      <alignment horizontal="center" vertical="center"/>
    </xf>
    <xf numFmtId="0" fontId="11" fillId="3" borderId="4" xfId="1" applyFont="1" applyFill="1" applyBorder="1" applyAlignment="1">
      <alignment horizontal="center" vertical="center"/>
    </xf>
    <xf numFmtId="168" fontId="13" fillId="3" borderId="4" xfId="1" applyNumberFormat="1" applyFont="1" applyFill="1" applyBorder="1" applyAlignment="1">
      <alignment horizontal="center" vertical="center"/>
    </xf>
    <xf numFmtId="12" fontId="7" fillId="4" borderId="4" xfId="1" applyNumberFormat="1" applyFill="1" applyBorder="1" applyAlignment="1">
      <alignment horizontal="center"/>
    </xf>
    <xf numFmtId="0" fontId="7" fillId="4" borderId="4" xfId="1" applyFill="1" applyBorder="1" applyAlignment="1">
      <alignment horizontal="center"/>
    </xf>
    <xf numFmtId="168" fontId="12" fillId="5" borderId="4" xfId="1" applyNumberFormat="1" applyFont="1" applyFill="1" applyBorder="1" applyAlignment="1">
      <alignment horizontal="center" vertical="center"/>
    </xf>
    <xf numFmtId="0" fontId="7" fillId="6" borderId="4" xfId="1" applyFill="1" applyBorder="1" applyAlignment="1">
      <alignment horizontal="center" vertical="center"/>
    </xf>
    <xf numFmtId="168" fontId="12" fillId="6" borderId="4" xfId="1" applyNumberFormat="1" applyFont="1" applyFill="1" applyBorder="1" applyAlignment="1">
      <alignment horizontal="center" vertical="center"/>
    </xf>
    <xf numFmtId="170" fontId="12" fillId="3" borderId="4" xfId="1" applyNumberFormat="1" applyFont="1" applyFill="1" applyBorder="1" applyAlignment="1">
      <alignment horizontal="center" vertical="center"/>
    </xf>
    <xf numFmtId="0" fontId="11" fillId="3" borderId="2" xfId="1" applyFont="1" applyFill="1" applyBorder="1" applyAlignment="1">
      <alignment horizontal="center" vertical="center"/>
    </xf>
    <xf numFmtId="0" fontId="11" fillId="4" borderId="2" xfId="1" applyFont="1" applyFill="1" applyBorder="1" applyAlignment="1">
      <alignment horizontal="center" vertical="center"/>
    </xf>
    <xf numFmtId="0" fontId="11" fillId="6" borderId="2" xfId="1" applyFont="1" applyFill="1" applyBorder="1" applyAlignment="1">
      <alignment horizontal="center" vertical="center"/>
    </xf>
    <xf numFmtId="2" fontId="11" fillId="3" borderId="2" xfId="1" applyNumberFormat="1" applyFont="1" applyFill="1" applyBorder="1" applyAlignment="1">
      <alignment horizontal="center" vertical="center"/>
    </xf>
    <xf numFmtId="2" fontId="11" fillId="4" borderId="2" xfId="1" applyNumberFormat="1" applyFont="1" applyFill="1" applyBorder="1" applyAlignment="1">
      <alignment horizontal="center" vertical="center"/>
    </xf>
    <xf numFmtId="49" fontId="11" fillId="3" borderId="4" xfId="1" applyNumberFormat="1" applyFont="1" applyFill="1" applyBorder="1" applyAlignment="1">
      <alignment horizontal="center" vertical="center"/>
    </xf>
    <xf numFmtId="0" fontId="11" fillId="7" borderId="2" xfId="1" applyFont="1" applyFill="1" applyBorder="1" applyAlignment="1">
      <alignment horizontal="center" vertical="center"/>
    </xf>
    <xf numFmtId="0" fontId="7" fillId="7" borderId="4" xfId="1" applyFill="1" applyBorder="1" applyAlignment="1">
      <alignment horizontal="center" vertical="center"/>
    </xf>
    <xf numFmtId="170" fontId="12" fillId="7" borderId="4" xfId="1" applyNumberFormat="1" applyFont="1" applyFill="1" applyBorder="1" applyAlignment="1">
      <alignment horizontal="center" vertical="center"/>
    </xf>
    <xf numFmtId="4" fontId="8" fillId="2" borderId="0" xfId="1" applyNumberFormat="1" applyFont="1" applyFill="1" applyAlignment="1">
      <alignment horizontal="right" vertical="center"/>
    </xf>
    <xf numFmtId="0" fontId="10" fillId="2" borderId="0" xfId="1" applyFont="1" applyFill="1"/>
    <xf numFmtId="0" fontId="9" fillId="2" borderId="1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10" fillId="2" borderId="0" xfId="1" applyFont="1" applyFill="1" applyAlignment="1">
      <alignment vertical="center"/>
    </xf>
    <xf numFmtId="0" fontId="9" fillId="2" borderId="0" xfId="1" applyFont="1" applyFill="1" applyBorder="1" applyAlignment="1">
      <alignment horizontal="center" vertical="center"/>
    </xf>
    <xf numFmtId="9" fontId="12" fillId="3" borderId="5" xfId="3" applyFont="1" applyFill="1" applyBorder="1" applyAlignment="1">
      <alignment horizontal="center" vertical="center"/>
    </xf>
    <xf numFmtId="9" fontId="12" fillId="4" borderId="5" xfId="3" applyFont="1" applyFill="1" applyBorder="1" applyAlignment="1">
      <alignment horizontal="center" vertical="center"/>
    </xf>
    <xf numFmtId="9" fontId="12" fillId="7" borderId="5" xfId="3" applyFont="1" applyFill="1" applyBorder="1" applyAlignment="1">
      <alignment horizontal="center" vertical="center"/>
    </xf>
    <xf numFmtId="2" fontId="11" fillId="3" borderId="4" xfId="1" applyNumberFormat="1" applyFont="1" applyFill="1" applyBorder="1" applyAlignment="1">
      <alignment horizontal="center" vertical="center"/>
    </xf>
    <xf numFmtId="168" fontId="12" fillId="3" borderId="10" xfId="1" applyNumberFormat="1" applyFont="1" applyFill="1" applyBorder="1" applyAlignment="1">
      <alignment horizontal="right" vertical="center"/>
    </xf>
    <xf numFmtId="2" fontId="11" fillId="4" borderId="4" xfId="1" applyNumberFormat="1" applyFont="1" applyFill="1" applyBorder="1" applyAlignment="1">
      <alignment horizontal="center" vertical="center"/>
    </xf>
    <xf numFmtId="168" fontId="12" fillId="4" borderId="10" xfId="1" applyNumberFormat="1" applyFont="1" applyFill="1" applyBorder="1" applyAlignment="1">
      <alignment horizontal="right" vertical="center"/>
    </xf>
    <xf numFmtId="2" fontId="11" fillId="6" borderId="4" xfId="1" applyNumberFormat="1" applyFont="1" applyFill="1" applyBorder="1" applyAlignment="1">
      <alignment horizontal="center" vertical="center"/>
    </xf>
    <xf numFmtId="168" fontId="12" fillId="6" borderId="10" xfId="1" applyNumberFormat="1" applyFont="1" applyFill="1" applyBorder="1" applyAlignment="1">
      <alignment horizontal="right" vertical="center"/>
    </xf>
    <xf numFmtId="170" fontId="12" fillId="3" borderId="10" xfId="1" applyNumberFormat="1" applyFont="1" applyFill="1" applyBorder="1" applyAlignment="1">
      <alignment horizontal="right" vertical="center"/>
    </xf>
    <xf numFmtId="2" fontId="11" fillId="7" borderId="4" xfId="1" applyNumberFormat="1" applyFont="1" applyFill="1" applyBorder="1" applyAlignment="1">
      <alignment horizontal="center" vertical="center"/>
    </xf>
    <xf numFmtId="170" fontId="12" fillId="7" borderId="10" xfId="1" applyNumberFormat="1" applyFont="1" applyFill="1" applyBorder="1" applyAlignment="1">
      <alignment horizontal="right" vertical="center"/>
    </xf>
    <xf numFmtId="2" fontId="11" fillId="3" borderId="4" xfId="1" applyNumberFormat="1" applyFont="1" applyFill="1" applyBorder="1" applyAlignment="1">
      <alignment vertical="center"/>
    </xf>
    <xf numFmtId="2" fontId="11" fillId="4" borderId="4" xfId="1" applyNumberFormat="1" applyFont="1" applyFill="1" applyBorder="1" applyAlignment="1">
      <alignment vertical="center"/>
    </xf>
    <xf numFmtId="2" fontId="11" fillId="3" borderId="4" xfId="1" applyNumberFormat="1" applyFont="1" applyFill="1" applyBorder="1" applyAlignment="1">
      <alignment vertical="top"/>
    </xf>
    <xf numFmtId="2" fontId="11" fillId="3" borderId="4" xfId="1" applyNumberFormat="1" applyFont="1" applyFill="1" applyBorder="1" applyAlignment="1"/>
    <xf numFmtId="2" fontId="11" fillId="4" borderId="4" xfId="1" applyNumberFormat="1" applyFont="1" applyFill="1" applyBorder="1" applyAlignment="1"/>
    <xf numFmtId="2" fontId="11" fillId="6" borderId="4" xfId="1" applyNumberFormat="1" applyFont="1" applyFill="1" applyBorder="1" applyAlignment="1">
      <alignment vertical="center"/>
    </xf>
    <xf numFmtId="2" fontId="11" fillId="7" borderId="4" xfId="1" applyNumberFormat="1" applyFont="1" applyFill="1" applyBorder="1" applyAlignment="1">
      <alignment vertical="center"/>
    </xf>
    <xf numFmtId="169" fontId="7" fillId="2" borderId="0" xfId="1" applyNumberFormat="1" applyFill="1" applyAlignment="1"/>
    <xf numFmtId="0" fontId="7" fillId="3" borderId="4" xfId="1" applyFill="1" applyBorder="1" applyAlignment="1">
      <alignment horizontal="left" vertical="center"/>
    </xf>
    <xf numFmtId="0" fontId="7" fillId="4" borderId="4" xfId="1" applyFill="1" applyBorder="1" applyAlignment="1">
      <alignment horizontal="left" vertical="center"/>
    </xf>
    <xf numFmtId="0" fontId="7" fillId="3" borderId="4" xfId="1" applyFill="1" applyBorder="1" applyAlignment="1">
      <alignment horizontal="left" vertical="center" wrapText="1"/>
    </xf>
    <xf numFmtId="49" fontId="7" fillId="3" borderId="4" xfId="1" applyNumberFormat="1" applyFill="1" applyBorder="1" applyAlignment="1">
      <alignment horizontal="left" vertical="center"/>
    </xf>
    <xf numFmtId="0" fontId="11" fillId="3" borderId="4" xfId="1" applyFont="1" applyFill="1" applyBorder="1" applyAlignment="1">
      <alignment horizontal="left" vertical="center"/>
    </xf>
    <xf numFmtId="0" fontId="7" fillId="6" borderId="4" xfId="1" applyFill="1" applyBorder="1" applyAlignment="1">
      <alignment horizontal="left" vertical="center"/>
    </xf>
    <xf numFmtId="0" fontId="7" fillId="7" borderId="4" xfId="1" applyFill="1" applyBorder="1" applyAlignment="1">
      <alignment horizontal="left" vertical="center"/>
    </xf>
    <xf numFmtId="0" fontId="7" fillId="2" borderId="0" xfId="1" applyFill="1" applyAlignment="1">
      <alignment horizontal="left" vertical="center"/>
    </xf>
    <xf numFmtId="0" fontId="16" fillId="0" borderId="4" xfId="0" applyFont="1" applyFill="1" applyBorder="1" applyAlignment="1">
      <alignment vertical="center"/>
    </xf>
    <xf numFmtId="49" fontId="16" fillId="0" borderId="4" xfId="0" applyNumberFormat="1" applyFont="1" applyFill="1" applyBorder="1" applyAlignment="1">
      <alignment horizontal="left"/>
    </xf>
    <xf numFmtId="49" fontId="16" fillId="0" borderId="4" xfId="0" applyNumberFormat="1" applyFont="1" applyFill="1" applyBorder="1"/>
    <xf numFmtId="0" fontId="16" fillId="0" borderId="0" xfId="0" applyFont="1" applyFill="1"/>
    <xf numFmtId="0" fontId="6" fillId="0" borderId="4" xfId="7" applyFill="1" applyBorder="1"/>
    <xf numFmtId="0" fontId="6" fillId="0" borderId="4" xfId="7" applyFill="1" applyBorder="1" applyAlignment="1">
      <alignment horizontal="left"/>
    </xf>
    <xf numFmtId="49" fontId="0" fillId="0" borderId="4" xfId="0" applyNumberFormat="1" applyFill="1" applyBorder="1"/>
    <xf numFmtId="0" fontId="6" fillId="0" borderId="0" xfId="7" applyFill="1"/>
    <xf numFmtId="0" fontId="6" fillId="0" borderId="4" xfId="7" applyFill="1" applyBorder="1" applyAlignment="1">
      <alignment vertical="center"/>
    </xf>
    <xf numFmtId="0" fontId="1" fillId="0" borderId="4" xfId="7" applyFont="1" applyFill="1" applyBorder="1" applyAlignment="1">
      <alignment horizontal="left"/>
    </xf>
    <xf numFmtId="0" fontId="5" fillId="0" borderId="4" xfId="7" applyFont="1" applyFill="1" applyBorder="1" applyAlignment="1">
      <alignment horizontal="left"/>
    </xf>
    <xf numFmtId="0" fontId="5" fillId="0" borderId="4" xfId="7" applyFont="1" applyFill="1" applyBorder="1"/>
    <xf numFmtId="0" fontId="4" fillId="0" borderId="4" xfId="7" applyFont="1" applyFill="1" applyBorder="1"/>
    <xf numFmtId="0" fontId="3" fillId="0" borderId="4" xfId="7" applyFont="1" applyFill="1" applyBorder="1" applyAlignment="1">
      <alignment horizontal="left"/>
    </xf>
    <xf numFmtId="0" fontId="3" fillId="0" borderId="4" xfId="7" applyFont="1" applyFill="1" applyBorder="1"/>
    <xf numFmtId="0" fontId="2" fillId="0" borderId="4" xfId="7" applyFont="1" applyFill="1" applyBorder="1"/>
    <xf numFmtId="0" fontId="6" fillId="0" borderId="0" xfId="7" applyFill="1" applyAlignment="1">
      <alignment horizontal="left"/>
    </xf>
    <xf numFmtId="49" fontId="16" fillId="0" borderId="0" xfId="0" applyNumberFormat="1" applyFont="1" applyFill="1" applyBorder="1"/>
    <xf numFmtId="169" fontId="9" fillId="2" borderId="6" xfId="1" applyNumberFormat="1" applyFont="1" applyFill="1" applyBorder="1" applyAlignment="1">
      <alignment horizontal="center" vertical="center"/>
    </xf>
    <xf numFmtId="169" fontId="9" fillId="2" borderId="7" xfId="1" applyNumberFormat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left" vertical="center"/>
    </xf>
    <xf numFmtId="4" fontId="9" fillId="2" borderId="3" xfId="1" applyNumberFormat="1" applyFont="1" applyFill="1" applyBorder="1" applyAlignment="1">
      <alignment horizontal="center" vertical="center"/>
    </xf>
    <xf numFmtId="4" fontId="9" fillId="2" borderId="9" xfId="1" applyNumberFormat="1" applyFont="1" applyFill="1" applyBorder="1" applyAlignment="1">
      <alignment horizontal="right" vertical="center"/>
    </xf>
    <xf numFmtId="4" fontId="9" fillId="2" borderId="8" xfId="1" applyNumberFormat="1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</cellXfs>
  <cellStyles count="8">
    <cellStyle name="Normal" xfId="0" builtinId="0"/>
    <cellStyle name="Normal 2" xfId="1" xr:uid="{00000000-0005-0000-0000-000002000000}"/>
    <cellStyle name="Normal 2 2" xfId="6" xr:uid="{68A0F7E7-F9CC-4E8E-B183-3E488175345E}"/>
    <cellStyle name="Normal 3" xfId="5" xr:uid="{E4EE4750-D2F0-41C6-A26B-EFBCE9E0C4AD}"/>
    <cellStyle name="Normal 5" xfId="7" xr:uid="{6C10FF9C-7D2B-4192-BD15-D66D7EF73B85}"/>
    <cellStyle name="ParaBirimi 2" xfId="4" xr:uid="{76DD1DF9-02FA-46BD-B2FF-7EB3941B28DB}"/>
    <cellStyle name="Virgül 2" xfId="2" xr:uid="{00000000-0005-0000-0000-000003000000}"/>
    <cellStyle name="Yüzde 2" xfId="3" xr:uid="{49D23F7C-6C32-40A0-8A86-AA102163071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EAA3-9D54-4AA1-AA10-2451C033CBF7}">
  <sheetPr>
    <tabColor rgb="FFFFFF00"/>
  </sheetPr>
  <dimension ref="A1:K256"/>
  <sheetViews>
    <sheetView view="pageBreakPreview" zoomScale="90" zoomScaleNormal="115" zoomScaleSheetLayoutView="90" workbookViewId="0">
      <pane xSplit="4" ySplit="3" topLeftCell="E43" activePane="bottomRight" state="frozen"/>
      <selection pane="topRight" activeCell="E1" sqref="E1"/>
      <selection pane="bottomLeft" activeCell="A5" sqref="A5"/>
      <selection pane="bottomRight" activeCell="C5" sqref="C5"/>
    </sheetView>
  </sheetViews>
  <sheetFormatPr defaultRowHeight="18" customHeight="1" x14ac:dyDescent="0.25"/>
  <cols>
    <col min="1" max="1" width="19.33203125" style="3" bestFit="1" customWidth="1"/>
    <col min="2" max="2" width="16.5546875" style="3" customWidth="1"/>
    <col min="3" max="3" width="25.88671875" style="54" customWidth="1"/>
    <col min="4" max="4" width="49.44140625" style="4" customWidth="1"/>
    <col min="5" max="5" width="28.44140625" style="62" customWidth="1"/>
    <col min="6" max="6" width="38.6640625" style="4" customWidth="1"/>
    <col min="7" max="7" width="18.88671875" style="5" hidden="1" customWidth="1"/>
    <col min="8" max="8" width="15.5546875" style="5" hidden="1" customWidth="1"/>
    <col min="9" max="9" width="25.44140625" style="29" customWidth="1"/>
    <col min="10" max="10" width="16.44140625" style="5" hidden="1" customWidth="1"/>
    <col min="11" max="254" width="9.109375" style="1"/>
    <col min="255" max="255" width="16.5546875" style="1" customWidth="1"/>
    <col min="256" max="256" width="0" style="1" hidden="1" customWidth="1"/>
    <col min="257" max="257" width="25.88671875" style="1" customWidth="1"/>
    <col min="258" max="258" width="49.44140625" style="1" customWidth="1"/>
    <col min="259" max="259" width="28.44140625" style="1" customWidth="1"/>
    <col min="260" max="260" width="29.109375" style="1" bestFit="1" customWidth="1"/>
    <col min="261" max="261" width="18.88671875" style="1" customWidth="1"/>
    <col min="262" max="262" width="18.6640625" style="1" customWidth="1"/>
    <col min="263" max="265" width="18.88671875" style="1" customWidth="1"/>
    <col min="266" max="510" width="9.109375" style="1"/>
    <col min="511" max="511" width="16.5546875" style="1" customWidth="1"/>
    <col min="512" max="512" width="0" style="1" hidden="1" customWidth="1"/>
    <col min="513" max="513" width="25.88671875" style="1" customWidth="1"/>
    <col min="514" max="514" width="49.44140625" style="1" customWidth="1"/>
    <col min="515" max="515" width="28.44140625" style="1" customWidth="1"/>
    <col min="516" max="516" width="29.109375" style="1" bestFit="1" customWidth="1"/>
    <col min="517" max="517" width="18.88671875" style="1" customWidth="1"/>
    <col min="518" max="518" width="18.6640625" style="1" customWidth="1"/>
    <col min="519" max="521" width="18.88671875" style="1" customWidth="1"/>
    <col min="522" max="766" width="9.109375" style="1"/>
    <col min="767" max="767" width="16.5546875" style="1" customWidth="1"/>
    <col min="768" max="768" width="0" style="1" hidden="1" customWidth="1"/>
    <col min="769" max="769" width="25.88671875" style="1" customWidth="1"/>
    <col min="770" max="770" width="49.44140625" style="1" customWidth="1"/>
    <col min="771" max="771" width="28.44140625" style="1" customWidth="1"/>
    <col min="772" max="772" width="29.109375" style="1" bestFit="1" customWidth="1"/>
    <col min="773" max="773" width="18.88671875" style="1" customWidth="1"/>
    <col min="774" max="774" width="18.6640625" style="1" customWidth="1"/>
    <col min="775" max="777" width="18.88671875" style="1" customWidth="1"/>
    <col min="778" max="1022" width="9.109375" style="1"/>
    <col min="1023" max="1023" width="16.5546875" style="1" customWidth="1"/>
    <col min="1024" max="1024" width="0" style="1" hidden="1" customWidth="1"/>
    <col min="1025" max="1025" width="25.88671875" style="1" customWidth="1"/>
    <col min="1026" max="1026" width="49.44140625" style="1" customWidth="1"/>
    <col min="1027" max="1027" width="28.44140625" style="1" customWidth="1"/>
    <col min="1028" max="1028" width="29.109375" style="1" bestFit="1" customWidth="1"/>
    <col min="1029" max="1029" width="18.88671875" style="1" customWidth="1"/>
    <col min="1030" max="1030" width="18.6640625" style="1" customWidth="1"/>
    <col min="1031" max="1033" width="18.88671875" style="1" customWidth="1"/>
    <col min="1034" max="1278" width="9.109375" style="1"/>
    <col min="1279" max="1279" width="16.5546875" style="1" customWidth="1"/>
    <col min="1280" max="1280" width="0" style="1" hidden="1" customWidth="1"/>
    <col min="1281" max="1281" width="25.88671875" style="1" customWidth="1"/>
    <col min="1282" max="1282" width="49.44140625" style="1" customWidth="1"/>
    <col min="1283" max="1283" width="28.44140625" style="1" customWidth="1"/>
    <col min="1284" max="1284" width="29.109375" style="1" bestFit="1" customWidth="1"/>
    <col min="1285" max="1285" width="18.88671875" style="1" customWidth="1"/>
    <col min="1286" max="1286" width="18.6640625" style="1" customWidth="1"/>
    <col min="1287" max="1289" width="18.88671875" style="1" customWidth="1"/>
    <col min="1290" max="1534" width="9.109375" style="1"/>
    <col min="1535" max="1535" width="16.5546875" style="1" customWidth="1"/>
    <col min="1536" max="1536" width="0" style="1" hidden="1" customWidth="1"/>
    <col min="1537" max="1537" width="25.88671875" style="1" customWidth="1"/>
    <col min="1538" max="1538" width="49.44140625" style="1" customWidth="1"/>
    <col min="1539" max="1539" width="28.44140625" style="1" customWidth="1"/>
    <col min="1540" max="1540" width="29.109375" style="1" bestFit="1" customWidth="1"/>
    <col min="1541" max="1541" width="18.88671875" style="1" customWidth="1"/>
    <col min="1542" max="1542" width="18.6640625" style="1" customWidth="1"/>
    <col min="1543" max="1545" width="18.88671875" style="1" customWidth="1"/>
    <col min="1546" max="1790" width="9.109375" style="1"/>
    <col min="1791" max="1791" width="16.5546875" style="1" customWidth="1"/>
    <col min="1792" max="1792" width="0" style="1" hidden="1" customWidth="1"/>
    <col min="1793" max="1793" width="25.88671875" style="1" customWidth="1"/>
    <col min="1794" max="1794" width="49.44140625" style="1" customWidth="1"/>
    <col min="1795" max="1795" width="28.44140625" style="1" customWidth="1"/>
    <col min="1796" max="1796" width="29.109375" style="1" bestFit="1" customWidth="1"/>
    <col min="1797" max="1797" width="18.88671875" style="1" customWidth="1"/>
    <col min="1798" max="1798" width="18.6640625" style="1" customWidth="1"/>
    <col min="1799" max="1801" width="18.88671875" style="1" customWidth="1"/>
    <col min="1802" max="2046" width="9.109375" style="1"/>
    <col min="2047" max="2047" width="16.5546875" style="1" customWidth="1"/>
    <col min="2048" max="2048" width="0" style="1" hidden="1" customWidth="1"/>
    <col min="2049" max="2049" width="25.88671875" style="1" customWidth="1"/>
    <col min="2050" max="2050" width="49.44140625" style="1" customWidth="1"/>
    <col min="2051" max="2051" width="28.44140625" style="1" customWidth="1"/>
    <col min="2052" max="2052" width="29.109375" style="1" bestFit="1" customWidth="1"/>
    <col min="2053" max="2053" width="18.88671875" style="1" customWidth="1"/>
    <col min="2054" max="2054" width="18.6640625" style="1" customWidth="1"/>
    <col min="2055" max="2057" width="18.88671875" style="1" customWidth="1"/>
    <col min="2058" max="2302" width="9.109375" style="1"/>
    <col min="2303" max="2303" width="16.5546875" style="1" customWidth="1"/>
    <col min="2304" max="2304" width="0" style="1" hidden="1" customWidth="1"/>
    <col min="2305" max="2305" width="25.88671875" style="1" customWidth="1"/>
    <col min="2306" max="2306" width="49.44140625" style="1" customWidth="1"/>
    <col min="2307" max="2307" width="28.44140625" style="1" customWidth="1"/>
    <col min="2308" max="2308" width="29.109375" style="1" bestFit="1" customWidth="1"/>
    <col min="2309" max="2309" width="18.88671875" style="1" customWidth="1"/>
    <col min="2310" max="2310" width="18.6640625" style="1" customWidth="1"/>
    <col min="2311" max="2313" width="18.88671875" style="1" customWidth="1"/>
    <col min="2314" max="2558" width="9.109375" style="1"/>
    <col min="2559" max="2559" width="16.5546875" style="1" customWidth="1"/>
    <col min="2560" max="2560" width="0" style="1" hidden="1" customWidth="1"/>
    <col min="2561" max="2561" width="25.88671875" style="1" customWidth="1"/>
    <col min="2562" max="2562" width="49.44140625" style="1" customWidth="1"/>
    <col min="2563" max="2563" width="28.44140625" style="1" customWidth="1"/>
    <col min="2564" max="2564" width="29.109375" style="1" bestFit="1" customWidth="1"/>
    <col min="2565" max="2565" width="18.88671875" style="1" customWidth="1"/>
    <col min="2566" max="2566" width="18.6640625" style="1" customWidth="1"/>
    <col min="2567" max="2569" width="18.88671875" style="1" customWidth="1"/>
    <col min="2570" max="2814" width="9.109375" style="1"/>
    <col min="2815" max="2815" width="16.5546875" style="1" customWidth="1"/>
    <col min="2816" max="2816" width="0" style="1" hidden="1" customWidth="1"/>
    <col min="2817" max="2817" width="25.88671875" style="1" customWidth="1"/>
    <col min="2818" max="2818" width="49.44140625" style="1" customWidth="1"/>
    <col min="2819" max="2819" width="28.44140625" style="1" customWidth="1"/>
    <col min="2820" max="2820" width="29.109375" style="1" bestFit="1" customWidth="1"/>
    <col min="2821" max="2821" width="18.88671875" style="1" customWidth="1"/>
    <col min="2822" max="2822" width="18.6640625" style="1" customWidth="1"/>
    <col min="2823" max="2825" width="18.88671875" style="1" customWidth="1"/>
    <col min="2826" max="3070" width="9.109375" style="1"/>
    <col min="3071" max="3071" width="16.5546875" style="1" customWidth="1"/>
    <col min="3072" max="3072" width="0" style="1" hidden="1" customWidth="1"/>
    <col min="3073" max="3073" width="25.88671875" style="1" customWidth="1"/>
    <col min="3074" max="3074" width="49.44140625" style="1" customWidth="1"/>
    <col min="3075" max="3075" width="28.44140625" style="1" customWidth="1"/>
    <col min="3076" max="3076" width="29.109375" style="1" bestFit="1" customWidth="1"/>
    <col min="3077" max="3077" width="18.88671875" style="1" customWidth="1"/>
    <col min="3078" max="3078" width="18.6640625" style="1" customWidth="1"/>
    <col min="3079" max="3081" width="18.88671875" style="1" customWidth="1"/>
    <col min="3082" max="3326" width="9.109375" style="1"/>
    <col min="3327" max="3327" width="16.5546875" style="1" customWidth="1"/>
    <col min="3328" max="3328" width="0" style="1" hidden="1" customWidth="1"/>
    <col min="3329" max="3329" width="25.88671875" style="1" customWidth="1"/>
    <col min="3330" max="3330" width="49.44140625" style="1" customWidth="1"/>
    <col min="3331" max="3331" width="28.44140625" style="1" customWidth="1"/>
    <col min="3332" max="3332" width="29.109375" style="1" bestFit="1" customWidth="1"/>
    <col min="3333" max="3333" width="18.88671875" style="1" customWidth="1"/>
    <col min="3334" max="3334" width="18.6640625" style="1" customWidth="1"/>
    <col min="3335" max="3337" width="18.88671875" style="1" customWidth="1"/>
    <col min="3338" max="3582" width="9.109375" style="1"/>
    <col min="3583" max="3583" width="16.5546875" style="1" customWidth="1"/>
    <col min="3584" max="3584" width="0" style="1" hidden="1" customWidth="1"/>
    <col min="3585" max="3585" width="25.88671875" style="1" customWidth="1"/>
    <col min="3586" max="3586" width="49.44140625" style="1" customWidth="1"/>
    <col min="3587" max="3587" width="28.44140625" style="1" customWidth="1"/>
    <col min="3588" max="3588" width="29.109375" style="1" bestFit="1" customWidth="1"/>
    <col min="3589" max="3589" width="18.88671875" style="1" customWidth="1"/>
    <col min="3590" max="3590" width="18.6640625" style="1" customWidth="1"/>
    <col min="3591" max="3593" width="18.88671875" style="1" customWidth="1"/>
    <col min="3594" max="3838" width="9.109375" style="1"/>
    <col min="3839" max="3839" width="16.5546875" style="1" customWidth="1"/>
    <col min="3840" max="3840" width="0" style="1" hidden="1" customWidth="1"/>
    <col min="3841" max="3841" width="25.88671875" style="1" customWidth="1"/>
    <col min="3842" max="3842" width="49.44140625" style="1" customWidth="1"/>
    <col min="3843" max="3843" width="28.44140625" style="1" customWidth="1"/>
    <col min="3844" max="3844" width="29.109375" style="1" bestFit="1" customWidth="1"/>
    <col min="3845" max="3845" width="18.88671875" style="1" customWidth="1"/>
    <col min="3846" max="3846" width="18.6640625" style="1" customWidth="1"/>
    <col min="3847" max="3849" width="18.88671875" style="1" customWidth="1"/>
    <col min="3850" max="4094" width="9.109375" style="1"/>
    <col min="4095" max="4095" width="16.5546875" style="1" customWidth="1"/>
    <col min="4096" max="4096" width="0" style="1" hidden="1" customWidth="1"/>
    <col min="4097" max="4097" width="25.88671875" style="1" customWidth="1"/>
    <col min="4098" max="4098" width="49.44140625" style="1" customWidth="1"/>
    <col min="4099" max="4099" width="28.44140625" style="1" customWidth="1"/>
    <col min="4100" max="4100" width="29.109375" style="1" bestFit="1" customWidth="1"/>
    <col min="4101" max="4101" width="18.88671875" style="1" customWidth="1"/>
    <col min="4102" max="4102" width="18.6640625" style="1" customWidth="1"/>
    <col min="4103" max="4105" width="18.88671875" style="1" customWidth="1"/>
    <col min="4106" max="4350" width="9.109375" style="1"/>
    <col min="4351" max="4351" width="16.5546875" style="1" customWidth="1"/>
    <col min="4352" max="4352" width="0" style="1" hidden="1" customWidth="1"/>
    <col min="4353" max="4353" width="25.88671875" style="1" customWidth="1"/>
    <col min="4354" max="4354" width="49.44140625" style="1" customWidth="1"/>
    <col min="4355" max="4355" width="28.44140625" style="1" customWidth="1"/>
    <col min="4356" max="4356" width="29.109375" style="1" bestFit="1" customWidth="1"/>
    <col min="4357" max="4357" width="18.88671875" style="1" customWidth="1"/>
    <col min="4358" max="4358" width="18.6640625" style="1" customWidth="1"/>
    <col min="4359" max="4361" width="18.88671875" style="1" customWidth="1"/>
    <col min="4362" max="4606" width="9.109375" style="1"/>
    <col min="4607" max="4607" width="16.5546875" style="1" customWidth="1"/>
    <col min="4608" max="4608" width="0" style="1" hidden="1" customWidth="1"/>
    <col min="4609" max="4609" width="25.88671875" style="1" customWidth="1"/>
    <col min="4610" max="4610" width="49.44140625" style="1" customWidth="1"/>
    <col min="4611" max="4611" width="28.44140625" style="1" customWidth="1"/>
    <col min="4612" max="4612" width="29.109375" style="1" bestFit="1" customWidth="1"/>
    <col min="4613" max="4613" width="18.88671875" style="1" customWidth="1"/>
    <col min="4614" max="4614" width="18.6640625" style="1" customWidth="1"/>
    <col min="4615" max="4617" width="18.88671875" style="1" customWidth="1"/>
    <col min="4618" max="4862" width="9.109375" style="1"/>
    <col min="4863" max="4863" width="16.5546875" style="1" customWidth="1"/>
    <col min="4864" max="4864" width="0" style="1" hidden="1" customWidth="1"/>
    <col min="4865" max="4865" width="25.88671875" style="1" customWidth="1"/>
    <col min="4866" max="4866" width="49.44140625" style="1" customWidth="1"/>
    <col min="4867" max="4867" width="28.44140625" style="1" customWidth="1"/>
    <col min="4868" max="4868" width="29.109375" style="1" bestFit="1" customWidth="1"/>
    <col min="4869" max="4869" width="18.88671875" style="1" customWidth="1"/>
    <col min="4870" max="4870" width="18.6640625" style="1" customWidth="1"/>
    <col min="4871" max="4873" width="18.88671875" style="1" customWidth="1"/>
    <col min="4874" max="5118" width="9.109375" style="1"/>
    <col min="5119" max="5119" width="16.5546875" style="1" customWidth="1"/>
    <col min="5120" max="5120" width="0" style="1" hidden="1" customWidth="1"/>
    <col min="5121" max="5121" width="25.88671875" style="1" customWidth="1"/>
    <col min="5122" max="5122" width="49.44140625" style="1" customWidth="1"/>
    <col min="5123" max="5123" width="28.44140625" style="1" customWidth="1"/>
    <col min="5124" max="5124" width="29.109375" style="1" bestFit="1" customWidth="1"/>
    <col min="5125" max="5125" width="18.88671875" style="1" customWidth="1"/>
    <col min="5126" max="5126" width="18.6640625" style="1" customWidth="1"/>
    <col min="5127" max="5129" width="18.88671875" style="1" customWidth="1"/>
    <col min="5130" max="5374" width="9.109375" style="1"/>
    <col min="5375" max="5375" width="16.5546875" style="1" customWidth="1"/>
    <col min="5376" max="5376" width="0" style="1" hidden="1" customWidth="1"/>
    <col min="5377" max="5377" width="25.88671875" style="1" customWidth="1"/>
    <col min="5378" max="5378" width="49.44140625" style="1" customWidth="1"/>
    <col min="5379" max="5379" width="28.44140625" style="1" customWidth="1"/>
    <col min="5380" max="5380" width="29.109375" style="1" bestFit="1" customWidth="1"/>
    <col min="5381" max="5381" width="18.88671875" style="1" customWidth="1"/>
    <col min="5382" max="5382" width="18.6640625" style="1" customWidth="1"/>
    <col min="5383" max="5385" width="18.88671875" style="1" customWidth="1"/>
    <col min="5386" max="5630" width="9.109375" style="1"/>
    <col min="5631" max="5631" width="16.5546875" style="1" customWidth="1"/>
    <col min="5632" max="5632" width="0" style="1" hidden="1" customWidth="1"/>
    <col min="5633" max="5633" width="25.88671875" style="1" customWidth="1"/>
    <col min="5634" max="5634" width="49.44140625" style="1" customWidth="1"/>
    <col min="5635" max="5635" width="28.44140625" style="1" customWidth="1"/>
    <col min="5636" max="5636" width="29.109375" style="1" bestFit="1" customWidth="1"/>
    <col min="5637" max="5637" width="18.88671875" style="1" customWidth="1"/>
    <col min="5638" max="5638" width="18.6640625" style="1" customWidth="1"/>
    <col min="5639" max="5641" width="18.88671875" style="1" customWidth="1"/>
    <col min="5642" max="5886" width="9.109375" style="1"/>
    <col min="5887" max="5887" width="16.5546875" style="1" customWidth="1"/>
    <col min="5888" max="5888" width="0" style="1" hidden="1" customWidth="1"/>
    <col min="5889" max="5889" width="25.88671875" style="1" customWidth="1"/>
    <col min="5890" max="5890" width="49.44140625" style="1" customWidth="1"/>
    <col min="5891" max="5891" width="28.44140625" style="1" customWidth="1"/>
    <col min="5892" max="5892" width="29.109375" style="1" bestFit="1" customWidth="1"/>
    <col min="5893" max="5893" width="18.88671875" style="1" customWidth="1"/>
    <col min="5894" max="5894" width="18.6640625" style="1" customWidth="1"/>
    <col min="5895" max="5897" width="18.88671875" style="1" customWidth="1"/>
    <col min="5898" max="6142" width="9.109375" style="1"/>
    <col min="6143" max="6143" width="16.5546875" style="1" customWidth="1"/>
    <col min="6144" max="6144" width="0" style="1" hidden="1" customWidth="1"/>
    <col min="6145" max="6145" width="25.88671875" style="1" customWidth="1"/>
    <col min="6146" max="6146" width="49.44140625" style="1" customWidth="1"/>
    <col min="6147" max="6147" width="28.44140625" style="1" customWidth="1"/>
    <col min="6148" max="6148" width="29.109375" style="1" bestFit="1" customWidth="1"/>
    <col min="6149" max="6149" width="18.88671875" style="1" customWidth="1"/>
    <col min="6150" max="6150" width="18.6640625" style="1" customWidth="1"/>
    <col min="6151" max="6153" width="18.88671875" style="1" customWidth="1"/>
    <col min="6154" max="6398" width="9.109375" style="1"/>
    <col min="6399" max="6399" width="16.5546875" style="1" customWidth="1"/>
    <col min="6400" max="6400" width="0" style="1" hidden="1" customWidth="1"/>
    <col min="6401" max="6401" width="25.88671875" style="1" customWidth="1"/>
    <col min="6402" max="6402" width="49.44140625" style="1" customWidth="1"/>
    <col min="6403" max="6403" width="28.44140625" style="1" customWidth="1"/>
    <col min="6404" max="6404" width="29.109375" style="1" bestFit="1" customWidth="1"/>
    <col min="6405" max="6405" width="18.88671875" style="1" customWidth="1"/>
    <col min="6406" max="6406" width="18.6640625" style="1" customWidth="1"/>
    <col min="6407" max="6409" width="18.88671875" style="1" customWidth="1"/>
    <col min="6410" max="6654" width="9.109375" style="1"/>
    <col min="6655" max="6655" width="16.5546875" style="1" customWidth="1"/>
    <col min="6656" max="6656" width="0" style="1" hidden="1" customWidth="1"/>
    <col min="6657" max="6657" width="25.88671875" style="1" customWidth="1"/>
    <col min="6658" max="6658" width="49.44140625" style="1" customWidth="1"/>
    <col min="6659" max="6659" width="28.44140625" style="1" customWidth="1"/>
    <col min="6660" max="6660" width="29.109375" style="1" bestFit="1" customWidth="1"/>
    <col min="6661" max="6661" width="18.88671875" style="1" customWidth="1"/>
    <col min="6662" max="6662" width="18.6640625" style="1" customWidth="1"/>
    <col min="6663" max="6665" width="18.88671875" style="1" customWidth="1"/>
    <col min="6666" max="6910" width="9.109375" style="1"/>
    <col min="6911" max="6911" width="16.5546875" style="1" customWidth="1"/>
    <col min="6912" max="6912" width="0" style="1" hidden="1" customWidth="1"/>
    <col min="6913" max="6913" width="25.88671875" style="1" customWidth="1"/>
    <col min="6914" max="6914" width="49.44140625" style="1" customWidth="1"/>
    <col min="6915" max="6915" width="28.44140625" style="1" customWidth="1"/>
    <col min="6916" max="6916" width="29.109375" style="1" bestFit="1" customWidth="1"/>
    <col min="6917" max="6917" width="18.88671875" style="1" customWidth="1"/>
    <col min="6918" max="6918" width="18.6640625" style="1" customWidth="1"/>
    <col min="6919" max="6921" width="18.88671875" style="1" customWidth="1"/>
    <col min="6922" max="7166" width="9.109375" style="1"/>
    <col min="7167" max="7167" width="16.5546875" style="1" customWidth="1"/>
    <col min="7168" max="7168" width="0" style="1" hidden="1" customWidth="1"/>
    <col min="7169" max="7169" width="25.88671875" style="1" customWidth="1"/>
    <col min="7170" max="7170" width="49.44140625" style="1" customWidth="1"/>
    <col min="7171" max="7171" width="28.44140625" style="1" customWidth="1"/>
    <col min="7172" max="7172" width="29.109375" style="1" bestFit="1" customWidth="1"/>
    <col min="7173" max="7173" width="18.88671875" style="1" customWidth="1"/>
    <col min="7174" max="7174" width="18.6640625" style="1" customWidth="1"/>
    <col min="7175" max="7177" width="18.88671875" style="1" customWidth="1"/>
    <col min="7178" max="7422" width="9.109375" style="1"/>
    <col min="7423" max="7423" width="16.5546875" style="1" customWidth="1"/>
    <col min="7424" max="7424" width="0" style="1" hidden="1" customWidth="1"/>
    <col min="7425" max="7425" width="25.88671875" style="1" customWidth="1"/>
    <col min="7426" max="7426" width="49.44140625" style="1" customWidth="1"/>
    <col min="7427" max="7427" width="28.44140625" style="1" customWidth="1"/>
    <col min="7428" max="7428" width="29.109375" style="1" bestFit="1" customWidth="1"/>
    <col min="7429" max="7429" width="18.88671875" style="1" customWidth="1"/>
    <col min="7430" max="7430" width="18.6640625" style="1" customWidth="1"/>
    <col min="7431" max="7433" width="18.88671875" style="1" customWidth="1"/>
    <col min="7434" max="7678" width="9.109375" style="1"/>
    <col min="7679" max="7679" width="16.5546875" style="1" customWidth="1"/>
    <col min="7680" max="7680" width="0" style="1" hidden="1" customWidth="1"/>
    <col min="7681" max="7681" width="25.88671875" style="1" customWidth="1"/>
    <col min="7682" max="7682" width="49.44140625" style="1" customWidth="1"/>
    <col min="7683" max="7683" width="28.44140625" style="1" customWidth="1"/>
    <col min="7684" max="7684" width="29.109375" style="1" bestFit="1" customWidth="1"/>
    <col min="7685" max="7685" width="18.88671875" style="1" customWidth="1"/>
    <col min="7686" max="7686" width="18.6640625" style="1" customWidth="1"/>
    <col min="7687" max="7689" width="18.88671875" style="1" customWidth="1"/>
    <col min="7690" max="7934" width="9.109375" style="1"/>
    <col min="7935" max="7935" width="16.5546875" style="1" customWidth="1"/>
    <col min="7936" max="7936" width="0" style="1" hidden="1" customWidth="1"/>
    <col min="7937" max="7937" width="25.88671875" style="1" customWidth="1"/>
    <col min="7938" max="7938" width="49.44140625" style="1" customWidth="1"/>
    <col min="7939" max="7939" width="28.44140625" style="1" customWidth="1"/>
    <col min="7940" max="7940" width="29.109375" style="1" bestFit="1" customWidth="1"/>
    <col min="7941" max="7941" width="18.88671875" style="1" customWidth="1"/>
    <col min="7942" max="7942" width="18.6640625" style="1" customWidth="1"/>
    <col min="7943" max="7945" width="18.88671875" style="1" customWidth="1"/>
    <col min="7946" max="8190" width="9.109375" style="1"/>
    <col min="8191" max="8191" width="16.5546875" style="1" customWidth="1"/>
    <col min="8192" max="8192" width="0" style="1" hidden="1" customWidth="1"/>
    <col min="8193" max="8193" width="25.88671875" style="1" customWidth="1"/>
    <col min="8194" max="8194" width="49.44140625" style="1" customWidth="1"/>
    <col min="8195" max="8195" width="28.44140625" style="1" customWidth="1"/>
    <col min="8196" max="8196" width="29.109375" style="1" bestFit="1" customWidth="1"/>
    <col min="8197" max="8197" width="18.88671875" style="1" customWidth="1"/>
    <col min="8198" max="8198" width="18.6640625" style="1" customWidth="1"/>
    <col min="8199" max="8201" width="18.88671875" style="1" customWidth="1"/>
    <col min="8202" max="8446" width="9.109375" style="1"/>
    <col min="8447" max="8447" width="16.5546875" style="1" customWidth="1"/>
    <col min="8448" max="8448" width="0" style="1" hidden="1" customWidth="1"/>
    <col min="8449" max="8449" width="25.88671875" style="1" customWidth="1"/>
    <col min="8450" max="8450" width="49.44140625" style="1" customWidth="1"/>
    <col min="8451" max="8451" width="28.44140625" style="1" customWidth="1"/>
    <col min="8452" max="8452" width="29.109375" style="1" bestFit="1" customWidth="1"/>
    <col min="8453" max="8453" width="18.88671875" style="1" customWidth="1"/>
    <col min="8454" max="8454" width="18.6640625" style="1" customWidth="1"/>
    <col min="8455" max="8457" width="18.88671875" style="1" customWidth="1"/>
    <col min="8458" max="8702" width="9.109375" style="1"/>
    <col min="8703" max="8703" width="16.5546875" style="1" customWidth="1"/>
    <col min="8704" max="8704" width="0" style="1" hidden="1" customWidth="1"/>
    <col min="8705" max="8705" width="25.88671875" style="1" customWidth="1"/>
    <col min="8706" max="8706" width="49.44140625" style="1" customWidth="1"/>
    <col min="8707" max="8707" width="28.44140625" style="1" customWidth="1"/>
    <col min="8708" max="8708" width="29.109375" style="1" bestFit="1" customWidth="1"/>
    <col min="8709" max="8709" width="18.88671875" style="1" customWidth="1"/>
    <col min="8710" max="8710" width="18.6640625" style="1" customWidth="1"/>
    <col min="8711" max="8713" width="18.88671875" style="1" customWidth="1"/>
    <col min="8714" max="8958" width="9.109375" style="1"/>
    <col min="8959" max="8959" width="16.5546875" style="1" customWidth="1"/>
    <col min="8960" max="8960" width="0" style="1" hidden="1" customWidth="1"/>
    <col min="8961" max="8961" width="25.88671875" style="1" customWidth="1"/>
    <col min="8962" max="8962" width="49.44140625" style="1" customWidth="1"/>
    <col min="8963" max="8963" width="28.44140625" style="1" customWidth="1"/>
    <col min="8964" max="8964" width="29.109375" style="1" bestFit="1" customWidth="1"/>
    <col min="8965" max="8965" width="18.88671875" style="1" customWidth="1"/>
    <col min="8966" max="8966" width="18.6640625" style="1" customWidth="1"/>
    <col min="8967" max="8969" width="18.88671875" style="1" customWidth="1"/>
    <col min="8970" max="9214" width="9.109375" style="1"/>
    <col min="9215" max="9215" width="16.5546875" style="1" customWidth="1"/>
    <col min="9216" max="9216" width="0" style="1" hidden="1" customWidth="1"/>
    <col min="9217" max="9217" width="25.88671875" style="1" customWidth="1"/>
    <col min="9218" max="9218" width="49.44140625" style="1" customWidth="1"/>
    <col min="9219" max="9219" width="28.44140625" style="1" customWidth="1"/>
    <col min="9220" max="9220" width="29.109375" style="1" bestFit="1" customWidth="1"/>
    <col min="9221" max="9221" width="18.88671875" style="1" customWidth="1"/>
    <col min="9222" max="9222" width="18.6640625" style="1" customWidth="1"/>
    <col min="9223" max="9225" width="18.88671875" style="1" customWidth="1"/>
    <col min="9226" max="9470" width="9.109375" style="1"/>
    <col min="9471" max="9471" width="16.5546875" style="1" customWidth="1"/>
    <col min="9472" max="9472" width="0" style="1" hidden="1" customWidth="1"/>
    <col min="9473" max="9473" width="25.88671875" style="1" customWidth="1"/>
    <col min="9474" max="9474" width="49.44140625" style="1" customWidth="1"/>
    <col min="9475" max="9475" width="28.44140625" style="1" customWidth="1"/>
    <col min="9476" max="9476" width="29.109375" style="1" bestFit="1" customWidth="1"/>
    <col min="9477" max="9477" width="18.88671875" style="1" customWidth="1"/>
    <col min="9478" max="9478" width="18.6640625" style="1" customWidth="1"/>
    <col min="9479" max="9481" width="18.88671875" style="1" customWidth="1"/>
    <col min="9482" max="9726" width="9.109375" style="1"/>
    <col min="9727" max="9727" width="16.5546875" style="1" customWidth="1"/>
    <col min="9728" max="9728" width="0" style="1" hidden="1" customWidth="1"/>
    <col min="9729" max="9729" width="25.88671875" style="1" customWidth="1"/>
    <col min="9730" max="9730" width="49.44140625" style="1" customWidth="1"/>
    <col min="9731" max="9731" width="28.44140625" style="1" customWidth="1"/>
    <col min="9732" max="9732" width="29.109375" style="1" bestFit="1" customWidth="1"/>
    <col min="9733" max="9733" width="18.88671875" style="1" customWidth="1"/>
    <col min="9734" max="9734" width="18.6640625" style="1" customWidth="1"/>
    <col min="9735" max="9737" width="18.88671875" style="1" customWidth="1"/>
    <col min="9738" max="9982" width="9.109375" style="1"/>
    <col min="9983" max="9983" width="16.5546875" style="1" customWidth="1"/>
    <col min="9984" max="9984" width="0" style="1" hidden="1" customWidth="1"/>
    <col min="9985" max="9985" width="25.88671875" style="1" customWidth="1"/>
    <col min="9986" max="9986" width="49.44140625" style="1" customWidth="1"/>
    <col min="9987" max="9987" width="28.44140625" style="1" customWidth="1"/>
    <col min="9988" max="9988" width="29.109375" style="1" bestFit="1" customWidth="1"/>
    <col min="9989" max="9989" width="18.88671875" style="1" customWidth="1"/>
    <col min="9990" max="9990" width="18.6640625" style="1" customWidth="1"/>
    <col min="9991" max="9993" width="18.88671875" style="1" customWidth="1"/>
    <col min="9994" max="10238" width="9.109375" style="1"/>
    <col min="10239" max="10239" width="16.5546875" style="1" customWidth="1"/>
    <col min="10240" max="10240" width="0" style="1" hidden="1" customWidth="1"/>
    <col min="10241" max="10241" width="25.88671875" style="1" customWidth="1"/>
    <col min="10242" max="10242" width="49.44140625" style="1" customWidth="1"/>
    <col min="10243" max="10243" width="28.44140625" style="1" customWidth="1"/>
    <col min="10244" max="10244" width="29.109375" style="1" bestFit="1" customWidth="1"/>
    <col min="10245" max="10245" width="18.88671875" style="1" customWidth="1"/>
    <col min="10246" max="10246" width="18.6640625" style="1" customWidth="1"/>
    <col min="10247" max="10249" width="18.88671875" style="1" customWidth="1"/>
    <col min="10250" max="10494" width="9.109375" style="1"/>
    <col min="10495" max="10495" width="16.5546875" style="1" customWidth="1"/>
    <col min="10496" max="10496" width="0" style="1" hidden="1" customWidth="1"/>
    <col min="10497" max="10497" width="25.88671875" style="1" customWidth="1"/>
    <col min="10498" max="10498" width="49.44140625" style="1" customWidth="1"/>
    <col min="10499" max="10499" width="28.44140625" style="1" customWidth="1"/>
    <col min="10500" max="10500" width="29.109375" style="1" bestFit="1" customWidth="1"/>
    <col min="10501" max="10501" width="18.88671875" style="1" customWidth="1"/>
    <col min="10502" max="10502" width="18.6640625" style="1" customWidth="1"/>
    <col min="10503" max="10505" width="18.88671875" style="1" customWidth="1"/>
    <col min="10506" max="10750" width="9.109375" style="1"/>
    <col min="10751" max="10751" width="16.5546875" style="1" customWidth="1"/>
    <col min="10752" max="10752" width="0" style="1" hidden="1" customWidth="1"/>
    <col min="10753" max="10753" width="25.88671875" style="1" customWidth="1"/>
    <col min="10754" max="10754" width="49.44140625" style="1" customWidth="1"/>
    <col min="10755" max="10755" width="28.44140625" style="1" customWidth="1"/>
    <col min="10756" max="10756" width="29.109375" style="1" bestFit="1" customWidth="1"/>
    <col min="10757" max="10757" width="18.88671875" style="1" customWidth="1"/>
    <col min="10758" max="10758" width="18.6640625" style="1" customWidth="1"/>
    <col min="10759" max="10761" width="18.88671875" style="1" customWidth="1"/>
    <col min="10762" max="11006" width="9.109375" style="1"/>
    <col min="11007" max="11007" width="16.5546875" style="1" customWidth="1"/>
    <col min="11008" max="11008" width="0" style="1" hidden="1" customWidth="1"/>
    <col min="11009" max="11009" width="25.88671875" style="1" customWidth="1"/>
    <col min="11010" max="11010" width="49.44140625" style="1" customWidth="1"/>
    <col min="11011" max="11011" width="28.44140625" style="1" customWidth="1"/>
    <col min="11012" max="11012" width="29.109375" style="1" bestFit="1" customWidth="1"/>
    <col min="11013" max="11013" width="18.88671875" style="1" customWidth="1"/>
    <col min="11014" max="11014" width="18.6640625" style="1" customWidth="1"/>
    <col min="11015" max="11017" width="18.88671875" style="1" customWidth="1"/>
    <col min="11018" max="11262" width="9.109375" style="1"/>
    <col min="11263" max="11263" width="16.5546875" style="1" customWidth="1"/>
    <col min="11264" max="11264" width="0" style="1" hidden="1" customWidth="1"/>
    <col min="11265" max="11265" width="25.88671875" style="1" customWidth="1"/>
    <col min="11266" max="11266" width="49.44140625" style="1" customWidth="1"/>
    <col min="11267" max="11267" width="28.44140625" style="1" customWidth="1"/>
    <col min="11268" max="11268" width="29.109375" style="1" bestFit="1" customWidth="1"/>
    <col min="11269" max="11269" width="18.88671875" style="1" customWidth="1"/>
    <col min="11270" max="11270" width="18.6640625" style="1" customWidth="1"/>
    <col min="11271" max="11273" width="18.88671875" style="1" customWidth="1"/>
    <col min="11274" max="11518" width="9.109375" style="1"/>
    <col min="11519" max="11519" width="16.5546875" style="1" customWidth="1"/>
    <col min="11520" max="11520" width="0" style="1" hidden="1" customWidth="1"/>
    <col min="11521" max="11521" width="25.88671875" style="1" customWidth="1"/>
    <col min="11522" max="11522" width="49.44140625" style="1" customWidth="1"/>
    <col min="11523" max="11523" width="28.44140625" style="1" customWidth="1"/>
    <col min="11524" max="11524" width="29.109375" style="1" bestFit="1" customWidth="1"/>
    <col min="11525" max="11525" width="18.88671875" style="1" customWidth="1"/>
    <col min="11526" max="11526" width="18.6640625" style="1" customWidth="1"/>
    <col min="11527" max="11529" width="18.88671875" style="1" customWidth="1"/>
    <col min="11530" max="11774" width="9.109375" style="1"/>
    <col min="11775" max="11775" width="16.5546875" style="1" customWidth="1"/>
    <col min="11776" max="11776" width="0" style="1" hidden="1" customWidth="1"/>
    <col min="11777" max="11777" width="25.88671875" style="1" customWidth="1"/>
    <col min="11778" max="11778" width="49.44140625" style="1" customWidth="1"/>
    <col min="11779" max="11779" width="28.44140625" style="1" customWidth="1"/>
    <col min="11780" max="11780" width="29.109375" style="1" bestFit="1" customWidth="1"/>
    <col min="11781" max="11781" width="18.88671875" style="1" customWidth="1"/>
    <col min="11782" max="11782" width="18.6640625" style="1" customWidth="1"/>
    <col min="11783" max="11785" width="18.88671875" style="1" customWidth="1"/>
    <col min="11786" max="12030" width="9.109375" style="1"/>
    <col min="12031" max="12031" width="16.5546875" style="1" customWidth="1"/>
    <col min="12032" max="12032" width="0" style="1" hidden="1" customWidth="1"/>
    <col min="12033" max="12033" width="25.88671875" style="1" customWidth="1"/>
    <col min="12034" max="12034" width="49.44140625" style="1" customWidth="1"/>
    <col min="12035" max="12035" width="28.44140625" style="1" customWidth="1"/>
    <col min="12036" max="12036" width="29.109375" style="1" bestFit="1" customWidth="1"/>
    <col min="12037" max="12037" width="18.88671875" style="1" customWidth="1"/>
    <col min="12038" max="12038" width="18.6640625" style="1" customWidth="1"/>
    <col min="12039" max="12041" width="18.88671875" style="1" customWidth="1"/>
    <col min="12042" max="12286" width="9.109375" style="1"/>
    <col min="12287" max="12287" width="16.5546875" style="1" customWidth="1"/>
    <col min="12288" max="12288" width="0" style="1" hidden="1" customWidth="1"/>
    <col min="12289" max="12289" width="25.88671875" style="1" customWidth="1"/>
    <col min="12290" max="12290" width="49.44140625" style="1" customWidth="1"/>
    <col min="12291" max="12291" width="28.44140625" style="1" customWidth="1"/>
    <col min="12292" max="12292" width="29.109375" style="1" bestFit="1" customWidth="1"/>
    <col min="12293" max="12293" width="18.88671875" style="1" customWidth="1"/>
    <col min="12294" max="12294" width="18.6640625" style="1" customWidth="1"/>
    <col min="12295" max="12297" width="18.88671875" style="1" customWidth="1"/>
    <col min="12298" max="12542" width="9.109375" style="1"/>
    <col min="12543" max="12543" width="16.5546875" style="1" customWidth="1"/>
    <col min="12544" max="12544" width="0" style="1" hidden="1" customWidth="1"/>
    <col min="12545" max="12545" width="25.88671875" style="1" customWidth="1"/>
    <col min="12546" max="12546" width="49.44140625" style="1" customWidth="1"/>
    <col min="12547" max="12547" width="28.44140625" style="1" customWidth="1"/>
    <col min="12548" max="12548" width="29.109375" style="1" bestFit="1" customWidth="1"/>
    <col min="12549" max="12549" width="18.88671875" style="1" customWidth="1"/>
    <col min="12550" max="12550" width="18.6640625" style="1" customWidth="1"/>
    <col min="12551" max="12553" width="18.88671875" style="1" customWidth="1"/>
    <col min="12554" max="12798" width="9.109375" style="1"/>
    <col min="12799" max="12799" width="16.5546875" style="1" customWidth="1"/>
    <col min="12800" max="12800" width="0" style="1" hidden="1" customWidth="1"/>
    <col min="12801" max="12801" width="25.88671875" style="1" customWidth="1"/>
    <col min="12802" max="12802" width="49.44140625" style="1" customWidth="1"/>
    <col min="12803" max="12803" width="28.44140625" style="1" customWidth="1"/>
    <col min="12804" max="12804" width="29.109375" style="1" bestFit="1" customWidth="1"/>
    <col min="12805" max="12805" width="18.88671875" style="1" customWidth="1"/>
    <col min="12806" max="12806" width="18.6640625" style="1" customWidth="1"/>
    <col min="12807" max="12809" width="18.88671875" style="1" customWidth="1"/>
    <col min="12810" max="13054" width="9.109375" style="1"/>
    <col min="13055" max="13055" width="16.5546875" style="1" customWidth="1"/>
    <col min="13056" max="13056" width="0" style="1" hidden="1" customWidth="1"/>
    <col min="13057" max="13057" width="25.88671875" style="1" customWidth="1"/>
    <col min="13058" max="13058" width="49.44140625" style="1" customWidth="1"/>
    <col min="13059" max="13059" width="28.44140625" style="1" customWidth="1"/>
    <col min="13060" max="13060" width="29.109375" style="1" bestFit="1" customWidth="1"/>
    <col min="13061" max="13061" width="18.88671875" style="1" customWidth="1"/>
    <col min="13062" max="13062" width="18.6640625" style="1" customWidth="1"/>
    <col min="13063" max="13065" width="18.88671875" style="1" customWidth="1"/>
    <col min="13066" max="13310" width="9.109375" style="1"/>
    <col min="13311" max="13311" width="16.5546875" style="1" customWidth="1"/>
    <col min="13312" max="13312" width="0" style="1" hidden="1" customWidth="1"/>
    <col min="13313" max="13313" width="25.88671875" style="1" customWidth="1"/>
    <col min="13314" max="13314" width="49.44140625" style="1" customWidth="1"/>
    <col min="13315" max="13315" width="28.44140625" style="1" customWidth="1"/>
    <col min="13316" max="13316" width="29.109375" style="1" bestFit="1" customWidth="1"/>
    <col min="13317" max="13317" width="18.88671875" style="1" customWidth="1"/>
    <col min="13318" max="13318" width="18.6640625" style="1" customWidth="1"/>
    <col min="13319" max="13321" width="18.88671875" style="1" customWidth="1"/>
    <col min="13322" max="13566" width="9.109375" style="1"/>
    <col min="13567" max="13567" width="16.5546875" style="1" customWidth="1"/>
    <col min="13568" max="13568" width="0" style="1" hidden="1" customWidth="1"/>
    <col min="13569" max="13569" width="25.88671875" style="1" customWidth="1"/>
    <col min="13570" max="13570" width="49.44140625" style="1" customWidth="1"/>
    <col min="13571" max="13571" width="28.44140625" style="1" customWidth="1"/>
    <col min="13572" max="13572" width="29.109375" style="1" bestFit="1" customWidth="1"/>
    <col min="13573" max="13573" width="18.88671875" style="1" customWidth="1"/>
    <col min="13574" max="13574" width="18.6640625" style="1" customWidth="1"/>
    <col min="13575" max="13577" width="18.88671875" style="1" customWidth="1"/>
    <col min="13578" max="13822" width="9.109375" style="1"/>
    <col min="13823" max="13823" width="16.5546875" style="1" customWidth="1"/>
    <col min="13824" max="13824" width="0" style="1" hidden="1" customWidth="1"/>
    <col min="13825" max="13825" width="25.88671875" style="1" customWidth="1"/>
    <col min="13826" max="13826" width="49.44140625" style="1" customWidth="1"/>
    <col min="13827" max="13827" width="28.44140625" style="1" customWidth="1"/>
    <col min="13828" max="13828" width="29.109375" style="1" bestFit="1" customWidth="1"/>
    <col min="13829" max="13829" width="18.88671875" style="1" customWidth="1"/>
    <col min="13830" max="13830" width="18.6640625" style="1" customWidth="1"/>
    <col min="13831" max="13833" width="18.88671875" style="1" customWidth="1"/>
    <col min="13834" max="14078" width="9.109375" style="1"/>
    <col min="14079" max="14079" width="16.5546875" style="1" customWidth="1"/>
    <col min="14080" max="14080" width="0" style="1" hidden="1" customWidth="1"/>
    <col min="14081" max="14081" width="25.88671875" style="1" customWidth="1"/>
    <col min="14082" max="14082" width="49.44140625" style="1" customWidth="1"/>
    <col min="14083" max="14083" width="28.44140625" style="1" customWidth="1"/>
    <col min="14084" max="14084" width="29.109375" style="1" bestFit="1" customWidth="1"/>
    <col min="14085" max="14085" width="18.88671875" style="1" customWidth="1"/>
    <col min="14086" max="14086" width="18.6640625" style="1" customWidth="1"/>
    <col min="14087" max="14089" width="18.88671875" style="1" customWidth="1"/>
    <col min="14090" max="14334" width="9.109375" style="1"/>
    <col min="14335" max="14335" width="16.5546875" style="1" customWidth="1"/>
    <col min="14336" max="14336" width="0" style="1" hidden="1" customWidth="1"/>
    <col min="14337" max="14337" width="25.88671875" style="1" customWidth="1"/>
    <col min="14338" max="14338" width="49.44140625" style="1" customWidth="1"/>
    <col min="14339" max="14339" width="28.44140625" style="1" customWidth="1"/>
    <col min="14340" max="14340" width="29.109375" style="1" bestFit="1" customWidth="1"/>
    <col min="14341" max="14341" width="18.88671875" style="1" customWidth="1"/>
    <col min="14342" max="14342" width="18.6640625" style="1" customWidth="1"/>
    <col min="14343" max="14345" width="18.88671875" style="1" customWidth="1"/>
    <col min="14346" max="14590" width="9.109375" style="1"/>
    <col min="14591" max="14591" width="16.5546875" style="1" customWidth="1"/>
    <col min="14592" max="14592" width="0" style="1" hidden="1" customWidth="1"/>
    <col min="14593" max="14593" width="25.88671875" style="1" customWidth="1"/>
    <col min="14594" max="14594" width="49.44140625" style="1" customWidth="1"/>
    <col min="14595" max="14595" width="28.44140625" style="1" customWidth="1"/>
    <col min="14596" max="14596" width="29.109375" style="1" bestFit="1" customWidth="1"/>
    <col min="14597" max="14597" width="18.88671875" style="1" customWidth="1"/>
    <col min="14598" max="14598" width="18.6640625" style="1" customWidth="1"/>
    <col min="14599" max="14601" width="18.88671875" style="1" customWidth="1"/>
    <col min="14602" max="14846" width="9.109375" style="1"/>
    <col min="14847" max="14847" width="16.5546875" style="1" customWidth="1"/>
    <col min="14848" max="14848" width="0" style="1" hidden="1" customWidth="1"/>
    <col min="14849" max="14849" width="25.88671875" style="1" customWidth="1"/>
    <col min="14850" max="14850" width="49.44140625" style="1" customWidth="1"/>
    <col min="14851" max="14851" width="28.44140625" style="1" customWidth="1"/>
    <col min="14852" max="14852" width="29.109375" style="1" bestFit="1" customWidth="1"/>
    <col min="14853" max="14853" width="18.88671875" style="1" customWidth="1"/>
    <col min="14854" max="14854" width="18.6640625" style="1" customWidth="1"/>
    <col min="14855" max="14857" width="18.88671875" style="1" customWidth="1"/>
    <col min="14858" max="15102" width="9.109375" style="1"/>
    <col min="15103" max="15103" width="16.5546875" style="1" customWidth="1"/>
    <col min="15104" max="15104" width="0" style="1" hidden="1" customWidth="1"/>
    <col min="15105" max="15105" width="25.88671875" style="1" customWidth="1"/>
    <col min="15106" max="15106" width="49.44140625" style="1" customWidth="1"/>
    <col min="15107" max="15107" width="28.44140625" style="1" customWidth="1"/>
    <col min="15108" max="15108" width="29.109375" style="1" bestFit="1" customWidth="1"/>
    <col min="15109" max="15109" width="18.88671875" style="1" customWidth="1"/>
    <col min="15110" max="15110" width="18.6640625" style="1" customWidth="1"/>
    <col min="15111" max="15113" width="18.88671875" style="1" customWidth="1"/>
    <col min="15114" max="15358" width="9.109375" style="1"/>
    <col min="15359" max="15359" width="16.5546875" style="1" customWidth="1"/>
    <col min="15360" max="15360" width="0" style="1" hidden="1" customWidth="1"/>
    <col min="15361" max="15361" width="25.88671875" style="1" customWidth="1"/>
    <col min="15362" max="15362" width="49.44140625" style="1" customWidth="1"/>
    <col min="15363" max="15363" width="28.44140625" style="1" customWidth="1"/>
    <col min="15364" max="15364" width="29.109375" style="1" bestFit="1" customWidth="1"/>
    <col min="15365" max="15365" width="18.88671875" style="1" customWidth="1"/>
    <col min="15366" max="15366" width="18.6640625" style="1" customWidth="1"/>
    <col min="15367" max="15369" width="18.88671875" style="1" customWidth="1"/>
    <col min="15370" max="15614" width="9.109375" style="1"/>
    <col min="15615" max="15615" width="16.5546875" style="1" customWidth="1"/>
    <col min="15616" max="15616" width="0" style="1" hidden="1" customWidth="1"/>
    <col min="15617" max="15617" width="25.88671875" style="1" customWidth="1"/>
    <col min="15618" max="15618" width="49.44140625" style="1" customWidth="1"/>
    <col min="15619" max="15619" width="28.44140625" style="1" customWidth="1"/>
    <col min="15620" max="15620" width="29.109375" style="1" bestFit="1" customWidth="1"/>
    <col min="15621" max="15621" width="18.88671875" style="1" customWidth="1"/>
    <col min="15622" max="15622" width="18.6640625" style="1" customWidth="1"/>
    <col min="15623" max="15625" width="18.88671875" style="1" customWidth="1"/>
    <col min="15626" max="15870" width="9.109375" style="1"/>
    <col min="15871" max="15871" width="16.5546875" style="1" customWidth="1"/>
    <col min="15872" max="15872" width="0" style="1" hidden="1" customWidth="1"/>
    <col min="15873" max="15873" width="25.88671875" style="1" customWidth="1"/>
    <col min="15874" max="15874" width="49.44140625" style="1" customWidth="1"/>
    <col min="15875" max="15875" width="28.44140625" style="1" customWidth="1"/>
    <col min="15876" max="15876" width="29.109375" style="1" bestFit="1" customWidth="1"/>
    <col min="15877" max="15877" width="18.88671875" style="1" customWidth="1"/>
    <col min="15878" max="15878" width="18.6640625" style="1" customWidth="1"/>
    <col min="15879" max="15881" width="18.88671875" style="1" customWidth="1"/>
    <col min="15882" max="16126" width="9.109375" style="1"/>
    <col min="16127" max="16127" width="16.5546875" style="1" customWidth="1"/>
    <col min="16128" max="16128" width="0" style="1" hidden="1" customWidth="1"/>
    <col min="16129" max="16129" width="25.88671875" style="1" customWidth="1"/>
    <col min="16130" max="16130" width="49.44140625" style="1" customWidth="1"/>
    <col min="16131" max="16131" width="28.44140625" style="1" customWidth="1"/>
    <col min="16132" max="16132" width="29.109375" style="1" bestFit="1" customWidth="1"/>
    <col min="16133" max="16133" width="18.88671875" style="1" customWidth="1"/>
    <col min="16134" max="16134" width="18.6640625" style="1" customWidth="1"/>
    <col min="16135" max="16137" width="18.88671875" style="1" customWidth="1"/>
    <col min="16138" max="16382" width="9.109375" style="1"/>
    <col min="16383" max="16384" width="9.109375" style="1" customWidth="1"/>
  </cols>
  <sheetData>
    <row r="1" spans="1:10" s="33" customFormat="1" ht="18" customHeight="1" x14ac:dyDescent="0.3">
      <c r="A1" s="31" t="s">
        <v>164</v>
      </c>
      <c r="B1" s="34"/>
      <c r="C1" s="34"/>
      <c r="D1" s="34"/>
      <c r="E1" s="34"/>
      <c r="F1" s="34"/>
      <c r="G1" s="34"/>
      <c r="H1" s="34"/>
      <c r="I1" s="34"/>
      <c r="J1" s="32"/>
    </row>
    <row r="2" spans="1:10" ht="18" customHeight="1" thickBot="1" x14ac:dyDescent="0.3">
      <c r="A2" s="31"/>
      <c r="B2" s="34"/>
      <c r="C2" s="34"/>
      <c r="D2" s="34"/>
      <c r="E2" s="34"/>
      <c r="F2" s="34"/>
      <c r="G2" s="34"/>
      <c r="H2" s="34"/>
      <c r="I2" s="34"/>
      <c r="J2" s="2"/>
    </row>
    <row r="3" spans="1:10" s="30" customFormat="1" ht="34.200000000000003" customHeight="1" x14ac:dyDescent="0.25">
      <c r="A3" s="81" t="s">
        <v>27</v>
      </c>
      <c r="B3" s="82" t="s">
        <v>2128</v>
      </c>
      <c r="C3" s="82" t="s">
        <v>165</v>
      </c>
      <c r="D3" s="83" t="s">
        <v>28</v>
      </c>
      <c r="E3" s="84" t="s">
        <v>166</v>
      </c>
      <c r="F3" s="83" t="s">
        <v>29</v>
      </c>
      <c r="G3" s="85" t="s">
        <v>167</v>
      </c>
      <c r="H3" s="85" t="s">
        <v>892</v>
      </c>
      <c r="I3" s="86" t="s">
        <v>2118</v>
      </c>
      <c r="J3" s="87" t="s">
        <v>168</v>
      </c>
    </row>
    <row r="4" spans="1:10" ht="18" customHeight="1" x14ac:dyDescent="0.25">
      <c r="A4" s="20">
        <v>1</v>
      </c>
      <c r="B4" s="38" t="s">
        <v>275</v>
      </c>
      <c r="C4" s="47" t="s">
        <v>169</v>
      </c>
      <c r="D4" s="7" t="s">
        <v>170</v>
      </c>
      <c r="E4" s="55" t="s">
        <v>171</v>
      </c>
      <c r="F4" s="7" t="s">
        <v>30</v>
      </c>
      <c r="G4" s="6">
        <v>8.64</v>
      </c>
      <c r="H4" s="6">
        <v>9.75</v>
      </c>
      <c r="I4" s="39">
        <v>9.9450000000000003</v>
      </c>
      <c r="J4" s="35">
        <f>I4/G4-1</f>
        <v>0.15104166666666652</v>
      </c>
    </row>
    <row r="5" spans="1:10" ht="18" customHeight="1" x14ac:dyDescent="0.25">
      <c r="A5" s="20">
        <v>2</v>
      </c>
      <c r="B5" s="38" t="s">
        <v>275</v>
      </c>
      <c r="C5" s="47" t="s">
        <v>169</v>
      </c>
      <c r="D5" s="7" t="s">
        <v>172</v>
      </c>
      <c r="E5" s="55" t="s">
        <v>173</v>
      </c>
      <c r="F5" s="10" t="s">
        <v>174</v>
      </c>
      <c r="G5" s="6">
        <v>20</v>
      </c>
      <c r="H5" s="6">
        <v>26.65</v>
      </c>
      <c r="I5" s="39">
        <v>27.183</v>
      </c>
      <c r="J5" s="35">
        <f>I5/G5-1</f>
        <v>0.35915000000000008</v>
      </c>
    </row>
    <row r="6" spans="1:10" ht="18" customHeight="1" x14ac:dyDescent="0.25">
      <c r="A6" s="20">
        <v>3</v>
      </c>
      <c r="B6" s="38" t="s">
        <v>275</v>
      </c>
      <c r="C6" s="47" t="s">
        <v>169</v>
      </c>
      <c r="D6" s="7" t="s">
        <v>31</v>
      </c>
      <c r="E6" s="55" t="s">
        <v>175</v>
      </c>
      <c r="F6" s="7" t="s">
        <v>32</v>
      </c>
      <c r="G6" s="6">
        <v>4.5</v>
      </c>
      <c r="H6" s="6">
        <v>7</v>
      </c>
      <c r="I6" s="39">
        <v>7.1400000000000006</v>
      </c>
      <c r="J6" s="35">
        <f t="shared" ref="J6:J9" si="0">I6/G6-1</f>
        <v>0.58666666666666689</v>
      </c>
    </row>
    <row r="7" spans="1:10" ht="18" customHeight="1" x14ac:dyDescent="0.25">
      <c r="A7" s="20">
        <v>4</v>
      </c>
      <c r="B7" s="38" t="s">
        <v>275</v>
      </c>
      <c r="C7" s="47" t="s">
        <v>169</v>
      </c>
      <c r="D7" s="7" t="s">
        <v>40</v>
      </c>
      <c r="E7" s="55"/>
      <c r="F7" s="7" t="s">
        <v>41</v>
      </c>
      <c r="G7" s="6">
        <v>2.5</v>
      </c>
      <c r="H7" s="6">
        <v>2.75</v>
      </c>
      <c r="I7" s="39">
        <v>2.8050000000000002</v>
      </c>
      <c r="J7" s="35">
        <f t="shared" si="0"/>
        <v>0.12200000000000011</v>
      </c>
    </row>
    <row r="8" spans="1:10" ht="18" customHeight="1" x14ac:dyDescent="0.25">
      <c r="A8" s="20">
        <v>5</v>
      </c>
      <c r="B8" s="38" t="s">
        <v>275</v>
      </c>
      <c r="C8" s="47" t="s">
        <v>169</v>
      </c>
      <c r="D8" s="7" t="s">
        <v>42</v>
      </c>
      <c r="E8" s="55"/>
      <c r="F8" s="7" t="s">
        <v>41</v>
      </c>
      <c r="G8" s="6">
        <v>1</v>
      </c>
      <c r="H8" s="6">
        <v>1.9</v>
      </c>
      <c r="I8" s="39">
        <v>1.9379999999999999</v>
      </c>
      <c r="J8" s="35">
        <f t="shared" si="0"/>
        <v>0.93799999999999994</v>
      </c>
    </row>
    <row r="9" spans="1:10" ht="18" customHeight="1" x14ac:dyDescent="0.25">
      <c r="A9" s="21">
        <v>6</v>
      </c>
      <c r="B9" s="40" t="s">
        <v>275</v>
      </c>
      <c r="C9" s="48" t="s">
        <v>176</v>
      </c>
      <c r="D9" s="8" t="s">
        <v>177</v>
      </c>
      <c r="E9" s="56" t="s">
        <v>893</v>
      </c>
      <c r="F9" s="8" t="s">
        <v>33</v>
      </c>
      <c r="G9" s="9">
        <v>48</v>
      </c>
      <c r="H9" s="9">
        <v>21</v>
      </c>
      <c r="I9" s="41">
        <v>21.42</v>
      </c>
      <c r="J9" s="36">
        <f t="shared" si="0"/>
        <v>-0.55374999999999996</v>
      </c>
    </row>
    <row r="10" spans="1:10" ht="18" customHeight="1" x14ac:dyDescent="0.25">
      <c r="A10" s="21">
        <v>7</v>
      </c>
      <c r="B10" s="40" t="s">
        <v>275</v>
      </c>
      <c r="C10" s="48" t="s">
        <v>176</v>
      </c>
      <c r="D10" s="8" t="s">
        <v>177</v>
      </c>
      <c r="E10" s="56" t="s">
        <v>893</v>
      </c>
      <c r="F10" s="8" t="s">
        <v>34</v>
      </c>
      <c r="G10" s="9">
        <v>50</v>
      </c>
      <c r="H10" s="9">
        <v>27</v>
      </c>
      <c r="I10" s="41">
        <v>31.314000000000004</v>
      </c>
      <c r="J10" s="36">
        <f>I10/H10-1</f>
        <v>0.15977777777777802</v>
      </c>
    </row>
    <row r="11" spans="1:10" ht="18" customHeight="1" x14ac:dyDescent="0.25">
      <c r="A11" s="21">
        <v>8</v>
      </c>
      <c r="B11" s="40" t="s">
        <v>275</v>
      </c>
      <c r="C11" s="48" t="s">
        <v>176</v>
      </c>
      <c r="D11" s="8" t="s">
        <v>177</v>
      </c>
      <c r="E11" s="56" t="s">
        <v>893</v>
      </c>
      <c r="F11" s="8" t="s">
        <v>35</v>
      </c>
      <c r="G11" s="9">
        <v>57</v>
      </c>
      <c r="H11" s="9">
        <v>36</v>
      </c>
      <c r="I11" s="41">
        <v>41.751999999999995</v>
      </c>
      <c r="J11" s="36">
        <f t="shared" ref="J11:J74" si="1">I11/H11-1</f>
        <v>0.15977777777777757</v>
      </c>
    </row>
    <row r="12" spans="1:10" ht="18" customHeight="1" x14ac:dyDescent="0.25">
      <c r="A12" s="21">
        <v>9</v>
      </c>
      <c r="B12" s="40" t="s">
        <v>275</v>
      </c>
      <c r="C12" s="48" t="s">
        <v>176</v>
      </c>
      <c r="D12" s="8" t="s">
        <v>177</v>
      </c>
      <c r="E12" s="56" t="s">
        <v>893</v>
      </c>
      <c r="F12" s="8" t="s">
        <v>36</v>
      </c>
      <c r="G12" s="9">
        <v>65</v>
      </c>
      <c r="H12" s="9">
        <v>41.497</v>
      </c>
      <c r="I12" s="41">
        <v>46.970999999999997</v>
      </c>
      <c r="J12" s="36">
        <f t="shared" si="1"/>
        <v>0.13191315034821782</v>
      </c>
    </row>
    <row r="13" spans="1:10" ht="18" customHeight="1" x14ac:dyDescent="0.25">
      <c r="A13" s="21">
        <v>10</v>
      </c>
      <c r="B13" s="40" t="s">
        <v>275</v>
      </c>
      <c r="C13" s="48" t="s">
        <v>176</v>
      </c>
      <c r="D13" s="8" t="s">
        <v>177</v>
      </c>
      <c r="E13" s="56" t="s">
        <v>894</v>
      </c>
      <c r="F13" s="8" t="s">
        <v>37</v>
      </c>
      <c r="G13" s="9">
        <v>107</v>
      </c>
      <c r="H13" s="9">
        <v>46</v>
      </c>
      <c r="I13" s="41">
        <v>52.19</v>
      </c>
      <c r="J13" s="36">
        <f t="shared" si="1"/>
        <v>0.13456521739130434</v>
      </c>
    </row>
    <row r="14" spans="1:10" ht="18" customHeight="1" x14ac:dyDescent="0.25">
      <c r="A14" s="21">
        <v>11</v>
      </c>
      <c r="B14" s="40" t="s">
        <v>275</v>
      </c>
      <c r="C14" s="48" t="s">
        <v>176</v>
      </c>
      <c r="D14" s="8" t="s">
        <v>177</v>
      </c>
      <c r="E14" s="56" t="s">
        <v>894</v>
      </c>
      <c r="F14" s="8" t="s">
        <v>38</v>
      </c>
      <c r="G14" s="9">
        <v>135</v>
      </c>
      <c r="H14" s="9">
        <v>140</v>
      </c>
      <c r="I14" s="41">
        <v>145.6</v>
      </c>
      <c r="J14" s="36">
        <f t="shared" si="1"/>
        <v>4.0000000000000036E-2</v>
      </c>
    </row>
    <row r="15" spans="1:10" ht="18" customHeight="1" x14ac:dyDescent="0.25">
      <c r="A15" s="21">
        <v>12</v>
      </c>
      <c r="B15" s="40" t="s">
        <v>275</v>
      </c>
      <c r="C15" s="48" t="s">
        <v>176</v>
      </c>
      <c r="D15" s="8" t="s">
        <v>177</v>
      </c>
      <c r="E15" s="56" t="s">
        <v>894</v>
      </c>
      <c r="F15" s="8" t="s">
        <v>895</v>
      </c>
      <c r="G15" s="9">
        <v>395</v>
      </c>
      <c r="H15" s="9">
        <v>260</v>
      </c>
      <c r="I15" s="41">
        <v>260</v>
      </c>
      <c r="J15" s="36">
        <f t="shared" si="1"/>
        <v>0</v>
      </c>
    </row>
    <row r="16" spans="1:10" ht="18" customHeight="1" x14ac:dyDescent="0.25">
      <c r="A16" s="20">
        <v>13</v>
      </c>
      <c r="B16" s="38" t="s">
        <v>275</v>
      </c>
      <c r="C16" s="49" t="s">
        <v>176</v>
      </c>
      <c r="D16" s="7" t="s">
        <v>177</v>
      </c>
      <c r="E16" s="55" t="s">
        <v>894</v>
      </c>
      <c r="F16" s="7" t="s">
        <v>39</v>
      </c>
      <c r="G16" s="6">
        <v>5</v>
      </c>
      <c r="H16" s="6">
        <v>555</v>
      </c>
      <c r="I16" s="39">
        <v>555</v>
      </c>
      <c r="J16" s="35">
        <f t="shared" si="1"/>
        <v>0</v>
      </c>
    </row>
    <row r="17" spans="1:10" ht="18" customHeight="1" x14ac:dyDescent="0.25">
      <c r="A17" s="20">
        <v>14</v>
      </c>
      <c r="B17" s="38" t="s">
        <v>275</v>
      </c>
      <c r="C17" s="49" t="s">
        <v>178</v>
      </c>
      <c r="D17" s="7" t="s">
        <v>179</v>
      </c>
      <c r="E17" s="55" t="s">
        <v>180</v>
      </c>
      <c r="F17" s="7" t="s">
        <v>181</v>
      </c>
      <c r="G17" s="6">
        <v>5.5</v>
      </c>
      <c r="H17" s="6">
        <v>7.5</v>
      </c>
      <c r="I17" s="39">
        <v>6.8000000000000007</v>
      </c>
      <c r="J17" s="35">
        <f t="shared" si="1"/>
        <v>-9.3333333333333268E-2</v>
      </c>
    </row>
    <row r="18" spans="1:10" ht="18" customHeight="1" x14ac:dyDescent="0.25">
      <c r="A18" s="20">
        <v>15</v>
      </c>
      <c r="B18" s="38" t="s">
        <v>275</v>
      </c>
      <c r="C18" s="49" t="s">
        <v>178</v>
      </c>
      <c r="D18" s="7" t="s">
        <v>179</v>
      </c>
      <c r="E18" s="55" t="s">
        <v>180</v>
      </c>
      <c r="F18" s="7" t="s">
        <v>182</v>
      </c>
      <c r="G18" s="6">
        <v>8.5</v>
      </c>
      <c r="H18" s="6">
        <v>9</v>
      </c>
      <c r="I18" s="39">
        <v>10.32</v>
      </c>
      <c r="J18" s="35">
        <f t="shared" si="1"/>
        <v>0.14666666666666672</v>
      </c>
    </row>
    <row r="19" spans="1:10" ht="18" customHeight="1" x14ac:dyDescent="0.25">
      <c r="A19" s="20">
        <v>16</v>
      </c>
      <c r="B19" s="38" t="s">
        <v>275</v>
      </c>
      <c r="C19" s="49" t="s">
        <v>178</v>
      </c>
      <c r="D19" s="7" t="s">
        <v>179</v>
      </c>
      <c r="E19" s="55" t="s">
        <v>180</v>
      </c>
      <c r="F19" s="7" t="s">
        <v>183</v>
      </c>
      <c r="G19" s="6">
        <v>8.5</v>
      </c>
      <c r="H19" s="6">
        <v>15.7</v>
      </c>
      <c r="I19" s="39">
        <v>20.64</v>
      </c>
      <c r="J19" s="35">
        <f t="shared" si="1"/>
        <v>0.31464968152866257</v>
      </c>
    </row>
    <row r="20" spans="1:10" ht="18" customHeight="1" x14ac:dyDescent="0.25">
      <c r="A20" s="20">
        <v>17</v>
      </c>
      <c r="B20" s="38" t="s">
        <v>275</v>
      </c>
      <c r="C20" s="49" t="s">
        <v>178</v>
      </c>
      <c r="D20" s="7" t="s">
        <v>179</v>
      </c>
      <c r="E20" s="55" t="s">
        <v>180</v>
      </c>
      <c r="F20" s="7" t="s">
        <v>184</v>
      </c>
      <c r="G20" s="6">
        <v>15</v>
      </c>
      <c r="H20" s="6">
        <v>18.5</v>
      </c>
      <c r="I20" s="39">
        <v>29.439999999999998</v>
      </c>
      <c r="J20" s="35">
        <f t="shared" si="1"/>
        <v>0.59135135135135131</v>
      </c>
    </row>
    <row r="21" spans="1:10" ht="18" customHeight="1" x14ac:dyDescent="0.25">
      <c r="A21" s="20">
        <v>18</v>
      </c>
      <c r="B21" s="38" t="s">
        <v>275</v>
      </c>
      <c r="C21" s="49" t="s">
        <v>178</v>
      </c>
      <c r="D21" s="7" t="s">
        <v>77</v>
      </c>
      <c r="E21" s="55" t="s">
        <v>185</v>
      </c>
      <c r="F21" s="7" t="s">
        <v>78</v>
      </c>
      <c r="G21" s="6">
        <v>8.8000000000000007</v>
      </c>
      <c r="H21" s="6">
        <v>15.5</v>
      </c>
      <c r="I21" s="39">
        <v>19.040000000000003</v>
      </c>
      <c r="J21" s="35">
        <f t="shared" si="1"/>
        <v>0.22838709677419367</v>
      </c>
    </row>
    <row r="22" spans="1:10" ht="18" customHeight="1" x14ac:dyDescent="0.25">
      <c r="A22" s="20">
        <v>19</v>
      </c>
      <c r="B22" s="38" t="s">
        <v>275</v>
      </c>
      <c r="C22" s="49" t="s">
        <v>178</v>
      </c>
      <c r="D22" s="7" t="s">
        <v>79</v>
      </c>
      <c r="E22" s="55" t="s">
        <v>185</v>
      </c>
      <c r="F22" s="7" t="s">
        <v>80</v>
      </c>
      <c r="G22" s="6">
        <v>8.8000000000000007</v>
      </c>
      <c r="H22" s="6">
        <v>15.5</v>
      </c>
      <c r="I22" s="39">
        <v>19.040000000000003</v>
      </c>
      <c r="J22" s="35">
        <f t="shared" si="1"/>
        <v>0.22838709677419367</v>
      </c>
    </row>
    <row r="23" spans="1:10" ht="18" customHeight="1" x14ac:dyDescent="0.25">
      <c r="A23" s="20">
        <v>20</v>
      </c>
      <c r="B23" s="38" t="s">
        <v>275</v>
      </c>
      <c r="C23" s="49" t="s">
        <v>178</v>
      </c>
      <c r="D23" s="7" t="s">
        <v>81</v>
      </c>
      <c r="E23" s="55" t="s">
        <v>185</v>
      </c>
      <c r="F23" s="7" t="s">
        <v>82</v>
      </c>
      <c r="G23" s="6">
        <v>14.5</v>
      </c>
      <c r="H23" s="6">
        <v>34.5</v>
      </c>
      <c r="I23" s="39">
        <v>38</v>
      </c>
      <c r="J23" s="35">
        <f t="shared" si="1"/>
        <v>0.10144927536231885</v>
      </c>
    </row>
    <row r="24" spans="1:10" ht="18" customHeight="1" x14ac:dyDescent="0.25">
      <c r="A24" s="20">
        <v>21</v>
      </c>
      <c r="B24" s="38" t="s">
        <v>275</v>
      </c>
      <c r="C24" s="49" t="s">
        <v>178</v>
      </c>
      <c r="D24" s="7" t="s">
        <v>89</v>
      </c>
      <c r="E24" s="55" t="s">
        <v>185</v>
      </c>
      <c r="F24" s="7" t="s">
        <v>90</v>
      </c>
      <c r="G24" s="6">
        <v>42.400000000000006</v>
      </c>
      <c r="H24" s="6">
        <v>16.5</v>
      </c>
      <c r="I24" s="39">
        <v>18.400000000000002</v>
      </c>
      <c r="J24" s="35">
        <f t="shared" si="1"/>
        <v>0.11515151515151523</v>
      </c>
    </row>
    <row r="25" spans="1:10" ht="18" customHeight="1" x14ac:dyDescent="0.25">
      <c r="A25" s="20">
        <v>22</v>
      </c>
      <c r="B25" s="38" t="s">
        <v>275</v>
      </c>
      <c r="C25" s="49" t="s">
        <v>178</v>
      </c>
      <c r="D25" s="7" t="s">
        <v>96</v>
      </c>
      <c r="E25" s="55" t="s">
        <v>185</v>
      </c>
      <c r="F25" s="7" t="s">
        <v>97</v>
      </c>
      <c r="G25" s="6">
        <v>42.400000000000006</v>
      </c>
      <c r="H25" s="6">
        <v>90</v>
      </c>
      <c r="I25" s="39">
        <v>137.6</v>
      </c>
      <c r="J25" s="35">
        <f t="shared" si="1"/>
        <v>0.52888888888888874</v>
      </c>
    </row>
    <row r="26" spans="1:10" ht="18" customHeight="1" x14ac:dyDescent="0.25">
      <c r="A26" s="20">
        <v>23</v>
      </c>
      <c r="B26" s="38" t="s">
        <v>275</v>
      </c>
      <c r="C26" s="49" t="s">
        <v>178</v>
      </c>
      <c r="D26" s="7" t="s">
        <v>96</v>
      </c>
      <c r="E26" s="55" t="s">
        <v>185</v>
      </c>
      <c r="F26" s="7" t="s">
        <v>98</v>
      </c>
      <c r="G26" s="6">
        <v>44</v>
      </c>
      <c r="H26" s="6">
        <v>92</v>
      </c>
      <c r="I26" s="39">
        <v>140.80000000000001</v>
      </c>
      <c r="J26" s="35">
        <f t="shared" si="1"/>
        <v>0.5304347826086957</v>
      </c>
    </row>
    <row r="27" spans="1:10" ht="18" customHeight="1" x14ac:dyDescent="0.25">
      <c r="A27" s="20">
        <v>24</v>
      </c>
      <c r="B27" s="38" t="s">
        <v>275</v>
      </c>
      <c r="C27" s="49" t="s">
        <v>178</v>
      </c>
      <c r="D27" s="7" t="s">
        <v>99</v>
      </c>
      <c r="E27" s="55" t="s">
        <v>185</v>
      </c>
      <c r="F27" s="7" t="s">
        <v>100</v>
      </c>
      <c r="G27" s="6">
        <v>44</v>
      </c>
      <c r="H27" s="6">
        <v>94</v>
      </c>
      <c r="I27" s="39">
        <v>142.4</v>
      </c>
      <c r="J27" s="35">
        <f t="shared" si="1"/>
        <v>0.51489361702127656</v>
      </c>
    </row>
    <row r="28" spans="1:10" ht="18" customHeight="1" x14ac:dyDescent="0.25">
      <c r="A28" s="20">
        <v>25</v>
      </c>
      <c r="B28" s="38" t="s">
        <v>275</v>
      </c>
      <c r="C28" s="49" t="s">
        <v>178</v>
      </c>
      <c r="D28" s="7" t="s">
        <v>99</v>
      </c>
      <c r="E28" s="55" t="s">
        <v>185</v>
      </c>
      <c r="F28" s="7" t="s">
        <v>101</v>
      </c>
      <c r="G28" s="6">
        <v>46.400000000000006</v>
      </c>
      <c r="H28" s="6">
        <v>96</v>
      </c>
      <c r="I28" s="39">
        <v>142.4</v>
      </c>
      <c r="J28" s="35">
        <f t="shared" si="1"/>
        <v>0.48333333333333339</v>
      </c>
    </row>
    <row r="29" spans="1:10" ht="18" customHeight="1" x14ac:dyDescent="0.25">
      <c r="A29" s="21">
        <v>26</v>
      </c>
      <c r="B29" s="40" t="s">
        <v>275</v>
      </c>
      <c r="C29" s="48" t="s">
        <v>178</v>
      </c>
      <c r="D29" s="8" t="s">
        <v>99</v>
      </c>
      <c r="E29" s="56" t="s">
        <v>185</v>
      </c>
      <c r="F29" s="8" t="s">
        <v>102</v>
      </c>
      <c r="G29" s="9">
        <v>18</v>
      </c>
      <c r="H29" s="9">
        <v>112</v>
      </c>
      <c r="I29" s="41">
        <v>147.20000000000002</v>
      </c>
      <c r="J29" s="36">
        <f t="shared" si="1"/>
        <v>0.3142857142857145</v>
      </c>
    </row>
    <row r="30" spans="1:10" ht="18" customHeight="1" x14ac:dyDescent="0.25">
      <c r="A30" s="21">
        <v>27</v>
      </c>
      <c r="B30" s="40" t="s">
        <v>275</v>
      </c>
      <c r="C30" s="48" t="s">
        <v>186</v>
      </c>
      <c r="D30" s="8" t="s">
        <v>361</v>
      </c>
      <c r="E30" s="56" t="s">
        <v>185</v>
      </c>
      <c r="F30" s="8" t="s">
        <v>182</v>
      </c>
      <c r="G30" s="9">
        <v>25</v>
      </c>
      <c r="H30" s="9">
        <v>25</v>
      </c>
      <c r="I30" s="41">
        <v>25.200000000000003</v>
      </c>
      <c r="J30" s="36">
        <f t="shared" si="1"/>
        <v>8.0000000000000071E-3</v>
      </c>
    </row>
    <row r="31" spans="1:10" ht="18" customHeight="1" x14ac:dyDescent="0.25">
      <c r="A31" s="21">
        <v>28</v>
      </c>
      <c r="B31" s="40" t="s">
        <v>275</v>
      </c>
      <c r="C31" s="48" t="s">
        <v>186</v>
      </c>
      <c r="D31" s="8" t="s">
        <v>361</v>
      </c>
      <c r="E31" s="56" t="s">
        <v>185</v>
      </c>
      <c r="F31" s="8" t="s">
        <v>187</v>
      </c>
      <c r="G31" s="9">
        <v>34</v>
      </c>
      <c r="H31" s="9">
        <v>35.5</v>
      </c>
      <c r="I31" s="41">
        <v>35.5</v>
      </c>
      <c r="J31" s="36">
        <f t="shared" si="1"/>
        <v>0</v>
      </c>
    </row>
    <row r="32" spans="1:10" ht="18" customHeight="1" x14ac:dyDescent="0.25">
      <c r="A32" s="21">
        <v>29</v>
      </c>
      <c r="B32" s="40" t="s">
        <v>275</v>
      </c>
      <c r="C32" s="48" t="s">
        <v>186</v>
      </c>
      <c r="D32" s="8" t="s">
        <v>361</v>
      </c>
      <c r="E32" s="56" t="s">
        <v>185</v>
      </c>
      <c r="F32" s="8" t="s">
        <v>188</v>
      </c>
      <c r="G32" s="9">
        <v>6.5</v>
      </c>
      <c r="H32" s="9">
        <v>54</v>
      </c>
      <c r="I32" s="41">
        <v>54.400000000000006</v>
      </c>
      <c r="J32" s="36">
        <f t="shared" si="1"/>
        <v>7.4074074074075291E-3</v>
      </c>
    </row>
    <row r="33" spans="1:10" ht="18" customHeight="1" x14ac:dyDescent="0.25">
      <c r="A33" s="21">
        <v>30</v>
      </c>
      <c r="B33" s="40" t="s">
        <v>275</v>
      </c>
      <c r="C33" s="48" t="s">
        <v>186</v>
      </c>
      <c r="D33" s="8" t="s">
        <v>47</v>
      </c>
      <c r="E33" s="56" t="s">
        <v>185</v>
      </c>
      <c r="F33" s="8" t="s">
        <v>48</v>
      </c>
      <c r="G33" s="9">
        <v>8.5</v>
      </c>
      <c r="H33" s="9">
        <v>8.5</v>
      </c>
      <c r="I33" s="41">
        <v>12.240000000000002</v>
      </c>
      <c r="J33" s="36">
        <f t="shared" si="1"/>
        <v>0.44000000000000017</v>
      </c>
    </row>
    <row r="34" spans="1:10" ht="18" customHeight="1" x14ac:dyDescent="0.25">
      <c r="A34" s="21">
        <v>35</v>
      </c>
      <c r="B34" s="40" t="s">
        <v>275</v>
      </c>
      <c r="C34" s="48" t="s">
        <v>190</v>
      </c>
      <c r="D34" s="8" t="s">
        <v>191</v>
      </c>
      <c r="E34" s="56" t="s">
        <v>192</v>
      </c>
      <c r="F34" s="8" t="s">
        <v>193</v>
      </c>
      <c r="G34" s="9">
        <v>13</v>
      </c>
      <c r="H34" s="9">
        <v>54</v>
      </c>
      <c r="I34" s="41">
        <v>59.559499999999993</v>
      </c>
      <c r="J34" s="36">
        <f t="shared" si="1"/>
        <v>0.1029537037037036</v>
      </c>
    </row>
    <row r="35" spans="1:10" ht="18" customHeight="1" x14ac:dyDescent="0.25">
      <c r="A35" s="21">
        <v>36</v>
      </c>
      <c r="B35" s="40" t="s">
        <v>275</v>
      </c>
      <c r="C35" s="48" t="s">
        <v>190</v>
      </c>
      <c r="D35" s="8" t="s">
        <v>49</v>
      </c>
      <c r="E35" s="56" t="s">
        <v>195</v>
      </c>
      <c r="F35" s="8"/>
      <c r="G35" s="9">
        <v>20</v>
      </c>
      <c r="H35" s="9">
        <v>8.5</v>
      </c>
      <c r="I35" s="41">
        <v>9.6559999999999988</v>
      </c>
      <c r="J35" s="36">
        <f t="shared" si="1"/>
        <v>0.1359999999999999</v>
      </c>
    </row>
    <row r="36" spans="1:10" ht="18" customHeight="1" x14ac:dyDescent="0.25">
      <c r="A36" s="21">
        <v>37</v>
      </c>
      <c r="B36" s="40" t="s">
        <v>275</v>
      </c>
      <c r="C36" s="48" t="s">
        <v>190</v>
      </c>
      <c r="D36" s="8" t="s">
        <v>49</v>
      </c>
      <c r="E36" s="56" t="s">
        <v>194</v>
      </c>
      <c r="F36" s="8"/>
      <c r="G36" s="9">
        <v>7</v>
      </c>
      <c r="H36" s="9">
        <v>4.5</v>
      </c>
      <c r="I36" s="41">
        <v>4.8959999999999999</v>
      </c>
      <c r="J36" s="36">
        <f t="shared" si="1"/>
        <v>8.8000000000000078E-2</v>
      </c>
    </row>
    <row r="37" spans="1:10" ht="18" customHeight="1" x14ac:dyDescent="0.25">
      <c r="A37" s="20">
        <v>38</v>
      </c>
      <c r="B37" s="38" t="s">
        <v>275</v>
      </c>
      <c r="C37" s="47" t="s">
        <v>362</v>
      </c>
      <c r="D37" s="7" t="s">
        <v>196</v>
      </c>
      <c r="E37" s="57" t="s">
        <v>197</v>
      </c>
      <c r="F37" s="11" t="s">
        <v>198</v>
      </c>
      <c r="G37" s="6">
        <v>40</v>
      </c>
      <c r="H37" s="6">
        <v>6.5</v>
      </c>
      <c r="I37" s="39">
        <v>7.2249999999999996</v>
      </c>
      <c r="J37" s="35">
        <f t="shared" si="1"/>
        <v>0.11153846153846159</v>
      </c>
    </row>
    <row r="38" spans="1:10" ht="18" customHeight="1" x14ac:dyDescent="0.25">
      <c r="A38" s="20">
        <v>39</v>
      </c>
      <c r="B38" s="38" t="s">
        <v>275</v>
      </c>
      <c r="C38" s="47" t="s">
        <v>362</v>
      </c>
      <c r="D38" s="7" t="s">
        <v>196</v>
      </c>
      <c r="E38" s="58" t="s">
        <v>363</v>
      </c>
      <c r="F38" s="11" t="s">
        <v>199</v>
      </c>
      <c r="G38" s="6">
        <v>20</v>
      </c>
      <c r="H38" s="6">
        <v>6.5</v>
      </c>
      <c r="I38" s="39">
        <v>7.548</v>
      </c>
      <c r="J38" s="35">
        <f t="shared" si="1"/>
        <v>0.16123076923076929</v>
      </c>
    </row>
    <row r="39" spans="1:10" ht="18" customHeight="1" x14ac:dyDescent="0.25">
      <c r="A39" s="20">
        <v>40</v>
      </c>
      <c r="B39" s="38" t="s">
        <v>275</v>
      </c>
      <c r="C39" s="47" t="s">
        <v>362</v>
      </c>
      <c r="D39" s="7" t="s">
        <v>196</v>
      </c>
      <c r="E39" s="55" t="s">
        <v>363</v>
      </c>
      <c r="F39" s="7" t="s">
        <v>200</v>
      </c>
      <c r="G39" s="6">
        <v>7</v>
      </c>
      <c r="H39" s="6">
        <v>10</v>
      </c>
      <c r="I39" s="39">
        <v>9.5114999999999998</v>
      </c>
      <c r="J39" s="35">
        <f t="shared" si="1"/>
        <v>-4.885000000000006E-2</v>
      </c>
    </row>
    <row r="40" spans="1:10" ht="18" customHeight="1" x14ac:dyDescent="0.25">
      <c r="A40" s="20">
        <v>41</v>
      </c>
      <c r="B40" s="38" t="s">
        <v>275</v>
      </c>
      <c r="C40" s="47" t="s">
        <v>201</v>
      </c>
      <c r="D40" s="7" t="s">
        <v>52</v>
      </c>
      <c r="E40" s="55" t="s">
        <v>202</v>
      </c>
      <c r="F40" s="7" t="s">
        <v>53</v>
      </c>
      <c r="G40" s="6">
        <v>3.5</v>
      </c>
      <c r="H40" s="6">
        <v>49.199999999999996</v>
      </c>
      <c r="I40" s="39">
        <v>54.824999999999996</v>
      </c>
      <c r="J40" s="35">
        <f t="shared" si="1"/>
        <v>0.11432926829268286</v>
      </c>
    </row>
    <row r="41" spans="1:10" ht="18" customHeight="1" x14ac:dyDescent="0.25">
      <c r="A41" s="20">
        <v>42</v>
      </c>
      <c r="B41" s="38" t="s">
        <v>275</v>
      </c>
      <c r="C41" s="47" t="s">
        <v>201</v>
      </c>
      <c r="D41" s="7" t="s">
        <v>54</v>
      </c>
      <c r="E41" s="55" t="s">
        <v>202</v>
      </c>
      <c r="F41" s="7" t="s">
        <v>55</v>
      </c>
      <c r="G41" s="6">
        <v>9.5</v>
      </c>
      <c r="H41" s="6">
        <v>29.724999999999998</v>
      </c>
      <c r="I41" s="39">
        <v>28.05</v>
      </c>
      <c r="J41" s="35">
        <f t="shared" si="1"/>
        <v>-5.6349873843565934E-2</v>
      </c>
    </row>
    <row r="42" spans="1:10" ht="18" customHeight="1" x14ac:dyDescent="0.25">
      <c r="A42" s="20">
        <v>43</v>
      </c>
      <c r="B42" s="38" t="s">
        <v>275</v>
      </c>
      <c r="C42" s="47" t="s">
        <v>201</v>
      </c>
      <c r="D42" s="7" t="s">
        <v>56</v>
      </c>
      <c r="E42" s="55" t="s">
        <v>202</v>
      </c>
      <c r="F42" s="7" t="s">
        <v>57</v>
      </c>
      <c r="G42" s="6">
        <v>10</v>
      </c>
      <c r="H42" s="6">
        <v>29.724999999999998</v>
      </c>
      <c r="I42" s="39">
        <v>33.625999999999998</v>
      </c>
      <c r="J42" s="35">
        <f t="shared" si="1"/>
        <v>0.13123633305298577</v>
      </c>
    </row>
    <row r="43" spans="1:10" ht="18" customHeight="1" x14ac:dyDescent="0.25">
      <c r="A43" s="20">
        <v>44</v>
      </c>
      <c r="B43" s="38" t="s">
        <v>275</v>
      </c>
      <c r="C43" s="47" t="s">
        <v>201</v>
      </c>
      <c r="D43" s="7" t="s">
        <v>50</v>
      </c>
      <c r="E43" s="55" t="s">
        <v>195</v>
      </c>
      <c r="F43" s="7" t="s">
        <v>203</v>
      </c>
      <c r="G43" s="6">
        <v>10.5</v>
      </c>
      <c r="H43" s="6">
        <v>18.45</v>
      </c>
      <c r="I43" s="39">
        <v>16.66</v>
      </c>
      <c r="J43" s="35">
        <f t="shared" si="1"/>
        <v>-9.7018970189701847E-2</v>
      </c>
    </row>
    <row r="44" spans="1:10" ht="18" customHeight="1" x14ac:dyDescent="0.25">
      <c r="A44" s="21">
        <v>45</v>
      </c>
      <c r="B44" s="40" t="s">
        <v>275</v>
      </c>
      <c r="C44" s="48" t="s">
        <v>201</v>
      </c>
      <c r="D44" s="8" t="s">
        <v>51</v>
      </c>
      <c r="E44" s="56" t="s">
        <v>195</v>
      </c>
      <c r="F44" s="8" t="s">
        <v>204</v>
      </c>
      <c r="G44" s="9">
        <v>32</v>
      </c>
      <c r="H44" s="9">
        <v>22.549999999999997</v>
      </c>
      <c r="I44" s="41">
        <v>17.875499999999999</v>
      </c>
      <c r="J44" s="36">
        <f t="shared" si="1"/>
        <v>-0.20729490022172947</v>
      </c>
    </row>
    <row r="45" spans="1:10" ht="18" customHeight="1" x14ac:dyDescent="0.25">
      <c r="A45" s="21">
        <v>46</v>
      </c>
      <c r="B45" s="40" t="s">
        <v>275</v>
      </c>
      <c r="C45" s="48" t="s">
        <v>205</v>
      </c>
      <c r="D45" s="8" t="s">
        <v>206</v>
      </c>
      <c r="E45" s="56"/>
      <c r="F45" s="8" t="s">
        <v>58</v>
      </c>
      <c r="G45" s="9">
        <v>17</v>
      </c>
      <c r="H45" s="9">
        <v>59</v>
      </c>
      <c r="I45" s="41">
        <v>63</v>
      </c>
      <c r="J45" s="36">
        <f t="shared" si="1"/>
        <v>6.7796610169491567E-2</v>
      </c>
    </row>
    <row r="46" spans="1:10" ht="18" customHeight="1" x14ac:dyDescent="0.25">
      <c r="A46" s="21">
        <v>47</v>
      </c>
      <c r="B46" s="40" t="s">
        <v>275</v>
      </c>
      <c r="C46" s="48" t="s">
        <v>205</v>
      </c>
      <c r="D46" s="8" t="s">
        <v>207</v>
      </c>
      <c r="E46" s="56"/>
      <c r="F46" s="8" t="s">
        <v>59</v>
      </c>
      <c r="G46" s="9">
        <v>17</v>
      </c>
      <c r="H46" s="9">
        <v>187</v>
      </c>
      <c r="I46" s="41">
        <v>191.7</v>
      </c>
      <c r="J46" s="36">
        <f t="shared" si="1"/>
        <v>2.5133689839572204E-2</v>
      </c>
    </row>
    <row r="47" spans="1:10" ht="18" customHeight="1" x14ac:dyDescent="0.25">
      <c r="A47" s="21">
        <v>48</v>
      </c>
      <c r="B47" s="40" t="s">
        <v>275</v>
      </c>
      <c r="C47" s="48" t="s">
        <v>205</v>
      </c>
      <c r="D47" s="8" t="s">
        <v>60</v>
      </c>
      <c r="E47" s="56"/>
      <c r="F47" s="8" t="s">
        <v>61</v>
      </c>
      <c r="G47" s="9">
        <v>11</v>
      </c>
      <c r="H47" s="9">
        <v>111</v>
      </c>
      <c r="I47" s="41">
        <v>113.8</v>
      </c>
      <c r="J47" s="36">
        <f t="shared" si="1"/>
        <v>2.522522522522519E-2</v>
      </c>
    </row>
    <row r="48" spans="1:10" ht="18" customHeight="1" x14ac:dyDescent="0.25">
      <c r="A48" s="21">
        <v>49</v>
      </c>
      <c r="B48" s="40" t="s">
        <v>275</v>
      </c>
      <c r="C48" s="48" t="s">
        <v>205</v>
      </c>
      <c r="D48" s="8" t="s">
        <v>208</v>
      </c>
      <c r="E48" s="56"/>
      <c r="F48" s="8" t="s">
        <v>62</v>
      </c>
      <c r="G48" s="9">
        <v>14</v>
      </c>
      <c r="H48" s="9">
        <v>278</v>
      </c>
      <c r="I48" s="41">
        <v>285</v>
      </c>
      <c r="J48" s="36">
        <f t="shared" si="1"/>
        <v>2.5179856115107979E-2</v>
      </c>
    </row>
    <row r="49" spans="1:10" ht="18" customHeight="1" x14ac:dyDescent="0.25">
      <c r="A49" s="20">
        <v>50</v>
      </c>
      <c r="B49" s="38" t="s">
        <v>275</v>
      </c>
      <c r="C49" s="50" t="s">
        <v>205</v>
      </c>
      <c r="D49" s="12" t="s">
        <v>209</v>
      </c>
      <c r="E49" s="59"/>
      <c r="F49" s="12" t="s">
        <v>63</v>
      </c>
      <c r="G49" s="6">
        <v>51</v>
      </c>
      <c r="H49" s="6">
        <v>166</v>
      </c>
      <c r="I49" s="39">
        <v>170</v>
      </c>
      <c r="J49" s="35">
        <f t="shared" si="1"/>
        <v>2.4096385542168752E-2</v>
      </c>
    </row>
    <row r="50" spans="1:10" ht="18" customHeight="1" x14ac:dyDescent="0.25">
      <c r="A50" s="20">
        <v>51</v>
      </c>
      <c r="B50" s="38" t="s">
        <v>275</v>
      </c>
      <c r="C50" s="50" t="s">
        <v>205</v>
      </c>
      <c r="D50" s="12" t="s">
        <v>210</v>
      </c>
      <c r="E50" s="59"/>
      <c r="F50" s="12" t="s">
        <v>64</v>
      </c>
      <c r="G50" s="6">
        <v>144</v>
      </c>
      <c r="H50" s="6">
        <v>48</v>
      </c>
      <c r="I50" s="39">
        <v>49.5</v>
      </c>
      <c r="J50" s="35">
        <f t="shared" si="1"/>
        <v>3.125E-2</v>
      </c>
    </row>
    <row r="51" spans="1:10" ht="18" customHeight="1" x14ac:dyDescent="0.25">
      <c r="A51" s="20">
        <v>52</v>
      </c>
      <c r="B51" s="38" t="s">
        <v>275</v>
      </c>
      <c r="C51" s="50" t="s">
        <v>205</v>
      </c>
      <c r="D51" s="12" t="s">
        <v>211</v>
      </c>
      <c r="E51" s="59"/>
      <c r="F51" s="12" t="s">
        <v>65</v>
      </c>
      <c r="G51" s="6">
        <v>90</v>
      </c>
      <c r="H51" s="6">
        <v>5.8</v>
      </c>
      <c r="I51" s="39">
        <v>6.1</v>
      </c>
      <c r="J51" s="35">
        <f t="shared" si="1"/>
        <v>5.1724137931034475E-2</v>
      </c>
    </row>
    <row r="52" spans="1:10" ht="18" customHeight="1" x14ac:dyDescent="0.25">
      <c r="A52" s="20">
        <v>53</v>
      </c>
      <c r="B52" s="38" t="s">
        <v>275</v>
      </c>
      <c r="C52" s="50" t="s">
        <v>205</v>
      </c>
      <c r="D52" s="12" t="s">
        <v>211</v>
      </c>
      <c r="E52" s="59"/>
      <c r="F52" s="12" t="s">
        <v>66</v>
      </c>
      <c r="G52" s="13">
        <v>222</v>
      </c>
      <c r="H52" s="6">
        <v>8.6999999999999993</v>
      </c>
      <c r="I52" s="39">
        <v>8.9499999999999993</v>
      </c>
      <c r="J52" s="35">
        <f t="shared" si="1"/>
        <v>2.8735632183908066E-2</v>
      </c>
    </row>
    <row r="53" spans="1:10" ht="18" customHeight="1" x14ac:dyDescent="0.25">
      <c r="A53" s="20">
        <v>54</v>
      </c>
      <c r="B53" s="38" t="s">
        <v>275</v>
      </c>
      <c r="C53" s="50" t="s">
        <v>205</v>
      </c>
      <c r="D53" s="12" t="s">
        <v>212</v>
      </c>
      <c r="E53" s="59"/>
      <c r="F53" s="12" t="s">
        <v>67</v>
      </c>
      <c r="G53" s="13">
        <v>142</v>
      </c>
      <c r="H53" s="6">
        <v>15.3</v>
      </c>
      <c r="I53" s="39">
        <v>15.7</v>
      </c>
      <c r="J53" s="35">
        <f t="shared" si="1"/>
        <v>2.614379084967311E-2</v>
      </c>
    </row>
    <row r="54" spans="1:10" ht="18" customHeight="1" x14ac:dyDescent="0.25">
      <c r="A54" s="20">
        <v>55</v>
      </c>
      <c r="B54" s="38" t="s">
        <v>275</v>
      </c>
      <c r="C54" s="50" t="s">
        <v>205</v>
      </c>
      <c r="D54" s="12" t="s">
        <v>213</v>
      </c>
      <c r="E54" s="59"/>
      <c r="F54" s="12" t="s">
        <v>68</v>
      </c>
      <c r="G54" s="13">
        <v>38</v>
      </c>
      <c r="H54" s="6">
        <v>75</v>
      </c>
      <c r="I54" s="39">
        <v>76.900000000000006</v>
      </c>
      <c r="J54" s="35">
        <f t="shared" si="1"/>
        <v>2.533333333333343E-2</v>
      </c>
    </row>
    <row r="55" spans="1:10" ht="18" customHeight="1" x14ac:dyDescent="0.25">
      <c r="A55" s="20">
        <v>56</v>
      </c>
      <c r="B55" s="38" t="s">
        <v>275</v>
      </c>
      <c r="C55" s="50" t="s">
        <v>205</v>
      </c>
      <c r="D55" s="12" t="s">
        <v>2062</v>
      </c>
      <c r="E55" s="59"/>
      <c r="F55" s="12" t="s">
        <v>69</v>
      </c>
      <c r="G55" s="6">
        <v>4</v>
      </c>
      <c r="H55" s="6">
        <v>75</v>
      </c>
      <c r="I55" s="39">
        <v>76.900000000000006</v>
      </c>
      <c r="J55" s="35">
        <f t="shared" si="1"/>
        <v>2.533333333333343E-2</v>
      </c>
    </row>
    <row r="56" spans="1:10" ht="18" customHeight="1" x14ac:dyDescent="0.25">
      <c r="A56" s="20">
        <v>57</v>
      </c>
      <c r="B56" s="38" t="s">
        <v>275</v>
      </c>
      <c r="C56" s="50" t="s">
        <v>205</v>
      </c>
      <c r="D56" s="12" t="s">
        <v>214</v>
      </c>
      <c r="E56" s="59"/>
      <c r="F56" s="12" t="s">
        <v>70</v>
      </c>
      <c r="G56" s="6">
        <v>5.5</v>
      </c>
      <c r="H56" s="6">
        <v>12.5</v>
      </c>
      <c r="I56" s="39">
        <v>12.8</v>
      </c>
      <c r="J56" s="35">
        <f t="shared" si="1"/>
        <v>2.4000000000000021E-2</v>
      </c>
    </row>
    <row r="57" spans="1:10" ht="18" customHeight="1" x14ac:dyDescent="0.25">
      <c r="A57" s="20">
        <v>58</v>
      </c>
      <c r="B57" s="38" t="s">
        <v>275</v>
      </c>
      <c r="C57" s="50" t="s">
        <v>205</v>
      </c>
      <c r="D57" s="12" t="s">
        <v>215</v>
      </c>
      <c r="E57" s="59"/>
      <c r="F57" s="12" t="s">
        <v>71</v>
      </c>
      <c r="G57" s="6">
        <v>15</v>
      </c>
      <c r="H57" s="6">
        <v>12.5</v>
      </c>
      <c r="I57" s="39">
        <v>12.8</v>
      </c>
      <c r="J57" s="35">
        <f t="shared" si="1"/>
        <v>2.4000000000000021E-2</v>
      </c>
    </row>
    <row r="58" spans="1:10" ht="18" customHeight="1" x14ac:dyDescent="0.25">
      <c r="A58" s="20">
        <v>59</v>
      </c>
      <c r="B58" s="38" t="s">
        <v>275</v>
      </c>
      <c r="C58" s="50" t="s">
        <v>205</v>
      </c>
      <c r="D58" s="12" t="s">
        <v>216</v>
      </c>
      <c r="E58" s="59"/>
      <c r="F58" s="12" t="s">
        <v>72</v>
      </c>
      <c r="G58" s="13">
        <v>55</v>
      </c>
      <c r="H58" s="6">
        <v>46</v>
      </c>
      <c r="I58" s="39">
        <v>47.2</v>
      </c>
      <c r="J58" s="35">
        <f t="shared" si="1"/>
        <v>2.6086956521739202E-2</v>
      </c>
    </row>
    <row r="59" spans="1:10" ht="18" customHeight="1" x14ac:dyDescent="0.25">
      <c r="A59" s="20">
        <v>60</v>
      </c>
      <c r="B59" s="38" t="s">
        <v>275</v>
      </c>
      <c r="C59" s="50" t="s">
        <v>205</v>
      </c>
      <c r="D59" s="12" t="s">
        <v>217</v>
      </c>
      <c r="E59" s="59"/>
      <c r="F59" s="12"/>
      <c r="G59" s="13">
        <v>55</v>
      </c>
      <c r="H59" s="6">
        <v>562</v>
      </c>
      <c r="I59" s="39">
        <v>576</v>
      </c>
      <c r="J59" s="35">
        <f t="shared" si="1"/>
        <v>2.4911032028469782E-2</v>
      </c>
    </row>
    <row r="60" spans="1:10" ht="18" customHeight="1" x14ac:dyDescent="0.25">
      <c r="A60" s="20">
        <v>61</v>
      </c>
      <c r="B60" s="38" t="s">
        <v>275</v>
      </c>
      <c r="C60" s="50" t="s">
        <v>205</v>
      </c>
      <c r="D60" s="12" t="s">
        <v>218</v>
      </c>
      <c r="E60" s="59"/>
      <c r="F60" s="12" t="s">
        <v>76</v>
      </c>
      <c r="G60" s="13">
        <v>7</v>
      </c>
      <c r="H60" s="6">
        <v>95</v>
      </c>
      <c r="I60" s="39">
        <v>97.5</v>
      </c>
      <c r="J60" s="35">
        <f t="shared" si="1"/>
        <v>2.6315789473684292E-2</v>
      </c>
    </row>
    <row r="61" spans="1:10" ht="18" customHeight="1" x14ac:dyDescent="0.25">
      <c r="A61" s="20">
        <v>62</v>
      </c>
      <c r="B61" s="38" t="s">
        <v>275</v>
      </c>
      <c r="C61" s="50" t="s">
        <v>205</v>
      </c>
      <c r="D61" s="12" t="s">
        <v>219</v>
      </c>
      <c r="E61" s="59" t="s">
        <v>220</v>
      </c>
      <c r="F61" s="12" t="s">
        <v>73</v>
      </c>
      <c r="G61" s="13">
        <v>10</v>
      </c>
      <c r="H61" s="6">
        <v>437</v>
      </c>
      <c r="I61" s="39">
        <v>448</v>
      </c>
      <c r="J61" s="35">
        <f t="shared" si="1"/>
        <v>2.517162471395884E-2</v>
      </c>
    </row>
    <row r="62" spans="1:10" ht="18" customHeight="1" x14ac:dyDescent="0.25">
      <c r="A62" s="20">
        <v>63</v>
      </c>
      <c r="B62" s="38" t="s">
        <v>275</v>
      </c>
      <c r="C62" s="50" t="s">
        <v>205</v>
      </c>
      <c r="D62" s="12" t="s">
        <v>219</v>
      </c>
      <c r="E62" s="59" t="s">
        <v>220</v>
      </c>
      <c r="F62" s="12" t="s">
        <v>74</v>
      </c>
      <c r="G62" s="13">
        <v>39</v>
      </c>
      <c r="H62" s="6">
        <v>507</v>
      </c>
      <c r="I62" s="39">
        <v>520</v>
      </c>
      <c r="J62" s="35">
        <f t="shared" si="1"/>
        <v>2.564102564102555E-2</v>
      </c>
    </row>
    <row r="63" spans="1:10" ht="18" customHeight="1" x14ac:dyDescent="0.25">
      <c r="A63" s="20">
        <v>64</v>
      </c>
      <c r="B63" s="38" t="s">
        <v>275</v>
      </c>
      <c r="C63" s="50" t="s">
        <v>205</v>
      </c>
      <c r="D63" s="12" t="s">
        <v>896</v>
      </c>
      <c r="E63" s="59"/>
      <c r="F63" s="12" t="s">
        <v>897</v>
      </c>
      <c r="G63" s="13">
        <v>325</v>
      </c>
      <c r="H63" s="6">
        <v>164</v>
      </c>
      <c r="I63" s="39">
        <v>168</v>
      </c>
      <c r="J63" s="35">
        <f t="shared" si="1"/>
        <v>2.4390243902439046E-2</v>
      </c>
    </row>
    <row r="64" spans="1:10" ht="18" customHeight="1" x14ac:dyDescent="0.25">
      <c r="A64" s="20">
        <v>65</v>
      </c>
      <c r="B64" s="38" t="s">
        <v>275</v>
      </c>
      <c r="C64" s="50" t="s">
        <v>205</v>
      </c>
      <c r="D64" s="12" t="s">
        <v>75</v>
      </c>
      <c r="E64" s="59"/>
      <c r="F64" s="12"/>
      <c r="G64" s="6">
        <v>602</v>
      </c>
      <c r="H64" s="6">
        <v>51.25</v>
      </c>
      <c r="I64" s="39">
        <v>52.5</v>
      </c>
      <c r="J64" s="35">
        <f t="shared" si="1"/>
        <v>2.4390243902439046E-2</v>
      </c>
    </row>
    <row r="65" spans="1:10" ht="18" customHeight="1" x14ac:dyDescent="0.25">
      <c r="A65" s="20">
        <v>66</v>
      </c>
      <c r="B65" s="38" t="s">
        <v>275</v>
      </c>
      <c r="C65" s="50" t="s">
        <v>205</v>
      </c>
      <c r="D65" s="12" t="s">
        <v>898</v>
      </c>
      <c r="E65" s="59"/>
      <c r="F65" s="12"/>
      <c r="G65" s="13">
        <v>76</v>
      </c>
      <c r="H65" s="6">
        <v>40</v>
      </c>
      <c r="I65" s="39">
        <v>41</v>
      </c>
      <c r="J65" s="35">
        <f t="shared" si="1"/>
        <v>2.4999999999999911E-2</v>
      </c>
    </row>
    <row r="66" spans="1:10" ht="18" customHeight="1" x14ac:dyDescent="0.25">
      <c r="A66" s="20">
        <v>67</v>
      </c>
      <c r="B66" s="38" t="s">
        <v>275</v>
      </c>
      <c r="C66" s="50" t="s">
        <v>205</v>
      </c>
      <c r="D66" s="12" t="s">
        <v>899</v>
      </c>
      <c r="E66" s="59"/>
      <c r="F66" s="12"/>
      <c r="G66" s="13">
        <v>264</v>
      </c>
      <c r="H66" s="6">
        <v>164</v>
      </c>
      <c r="I66" s="39">
        <v>168</v>
      </c>
      <c r="J66" s="35">
        <f t="shared" si="1"/>
        <v>2.4390243902439046E-2</v>
      </c>
    </row>
    <row r="67" spans="1:10" ht="18" customHeight="1" x14ac:dyDescent="0.25">
      <c r="A67" s="20">
        <v>68</v>
      </c>
      <c r="B67" s="38" t="s">
        <v>275</v>
      </c>
      <c r="C67" s="50"/>
      <c r="D67" s="12" t="s">
        <v>900</v>
      </c>
      <c r="E67" s="59"/>
      <c r="F67" s="12"/>
      <c r="G67" s="13">
        <v>402</v>
      </c>
      <c r="H67" s="6">
        <v>1830</v>
      </c>
      <c r="I67" s="39">
        <v>1876</v>
      </c>
      <c r="J67" s="35">
        <f t="shared" si="1"/>
        <v>2.5136612021857907E-2</v>
      </c>
    </row>
    <row r="68" spans="1:10" ht="18" customHeight="1" x14ac:dyDescent="0.25">
      <c r="A68" s="20">
        <v>69</v>
      </c>
      <c r="B68" s="38" t="s">
        <v>275</v>
      </c>
      <c r="C68" s="50"/>
      <c r="D68" s="12" t="s">
        <v>901</v>
      </c>
      <c r="E68" s="59"/>
      <c r="F68" s="12"/>
      <c r="G68" s="13">
        <v>124</v>
      </c>
      <c r="H68" s="6">
        <v>275</v>
      </c>
      <c r="I68" s="39">
        <v>282</v>
      </c>
      <c r="J68" s="35">
        <f t="shared" si="1"/>
        <v>2.5454545454545396E-2</v>
      </c>
    </row>
    <row r="69" spans="1:10" ht="18" customHeight="1" x14ac:dyDescent="0.25">
      <c r="A69" s="20">
        <v>70</v>
      </c>
      <c r="B69" s="38" t="s">
        <v>275</v>
      </c>
      <c r="C69" s="50"/>
      <c r="D69" s="12" t="s">
        <v>902</v>
      </c>
      <c r="E69" s="59"/>
      <c r="F69" s="12"/>
      <c r="G69" s="13">
        <v>42</v>
      </c>
      <c r="H69" s="6">
        <v>1678</v>
      </c>
      <c r="I69" s="39">
        <v>1720</v>
      </c>
      <c r="J69" s="35">
        <f t="shared" si="1"/>
        <v>2.5029797377830842E-2</v>
      </c>
    </row>
    <row r="70" spans="1:10" ht="18" customHeight="1" x14ac:dyDescent="0.25">
      <c r="A70" s="23" t="s">
        <v>903</v>
      </c>
      <c r="B70" s="38" t="s">
        <v>275</v>
      </c>
      <c r="C70" s="50"/>
      <c r="D70" s="12" t="s">
        <v>904</v>
      </c>
      <c r="E70" s="59"/>
      <c r="F70" s="12"/>
      <c r="G70" s="13">
        <v>39</v>
      </c>
      <c r="H70" s="6">
        <v>4304</v>
      </c>
      <c r="I70" s="39">
        <v>4411</v>
      </c>
      <c r="J70" s="35">
        <f t="shared" si="1"/>
        <v>2.4860594795538926E-2</v>
      </c>
    </row>
    <row r="71" spans="1:10" ht="18" customHeight="1" x14ac:dyDescent="0.25">
      <c r="A71" s="21">
        <v>71</v>
      </c>
      <c r="B71" s="40" t="s">
        <v>275</v>
      </c>
      <c r="C71" s="48"/>
      <c r="D71" s="8" t="s">
        <v>905</v>
      </c>
      <c r="E71" s="56"/>
      <c r="F71" s="8"/>
      <c r="G71" s="9">
        <v>11.5</v>
      </c>
      <c r="H71" s="9">
        <v>300</v>
      </c>
      <c r="I71" s="41">
        <v>307.5</v>
      </c>
      <c r="J71" s="36">
        <f t="shared" si="1"/>
        <v>2.4999999999999911E-2</v>
      </c>
    </row>
    <row r="72" spans="1:10" ht="18" customHeight="1" x14ac:dyDescent="0.25">
      <c r="A72" s="21">
        <v>72</v>
      </c>
      <c r="B72" s="40" t="s">
        <v>275</v>
      </c>
      <c r="C72" s="48"/>
      <c r="D72" s="8" t="s">
        <v>906</v>
      </c>
      <c r="E72" s="56"/>
      <c r="F72" s="8"/>
      <c r="G72" s="9">
        <v>11.5</v>
      </c>
      <c r="H72" s="9">
        <v>14</v>
      </c>
      <c r="I72" s="41">
        <v>14.5</v>
      </c>
      <c r="J72" s="36">
        <f t="shared" si="1"/>
        <v>3.5714285714285809E-2</v>
      </c>
    </row>
    <row r="73" spans="1:10" ht="18" customHeight="1" x14ac:dyDescent="0.25">
      <c r="A73" s="21">
        <v>73</v>
      </c>
      <c r="B73" s="40" t="s">
        <v>275</v>
      </c>
      <c r="C73" s="48"/>
      <c r="D73" s="8" t="s">
        <v>907</v>
      </c>
      <c r="E73" s="56" t="s">
        <v>908</v>
      </c>
      <c r="F73" s="8" t="s">
        <v>909</v>
      </c>
      <c r="G73" s="9">
        <v>11.5</v>
      </c>
      <c r="H73" s="9">
        <v>5.25</v>
      </c>
      <c r="I73" s="41">
        <v>5.4</v>
      </c>
      <c r="J73" s="36">
        <f t="shared" si="1"/>
        <v>2.8571428571428692E-2</v>
      </c>
    </row>
    <row r="74" spans="1:10" ht="18" customHeight="1" x14ac:dyDescent="0.25">
      <c r="A74" s="21">
        <v>74</v>
      </c>
      <c r="B74" s="40" t="s">
        <v>275</v>
      </c>
      <c r="C74" s="48"/>
      <c r="D74" s="8" t="s">
        <v>910</v>
      </c>
      <c r="E74" s="56"/>
      <c r="F74" s="8" t="s">
        <v>911</v>
      </c>
      <c r="G74" s="9">
        <v>15</v>
      </c>
      <c r="H74" s="9">
        <v>8.75</v>
      </c>
      <c r="I74" s="41">
        <v>9</v>
      </c>
      <c r="J74" s="36">
        <f t="shared" si="1"/>
        <v>2.857142857142847E-2</v>
      </c>
    </row>
    <row r="75" spans="1:10" ht="18" customHeight="1" x14ac:dyDescent="0.25">
      <c r="A75" s="24" t="s">
        <v>912</v>
      </c>
      <c r="B75" s="40" t="s">
        <v>275</v>
      </c>
      <c r="C75" s="48" t="s">
        <v>913</v>
      </c>
      <c r="D75" s="8" t="s">
        <v>914</v>
      </c>
      <c r="E75" s="56"/>
      <c r="F75" s="8"/>
      <c r="G75" s="9">
        <v>18</v>
      </c>
      <c r="H75" s="9">
        <v>1017</v>
      </c>
      <c r="I75" s="41">
        <v>1042.5</v>
      </c>
      <c r="J75" s="36">
        <f t="shared" ref="J75:J138" si="2">I75/H75-1</f>
        <v>2.5073746312684442E-2</v>
      </c>
    </row>
    <row r="76" spans="1:10" ht="18" customHeight="1" x14ac:dyDescent="0.25">
      <c r="A76" s="24" t="s">
        <v>915</v>
      </c>
      <c r="B76" s="40" t="s">
        <v>275</v>
      </c>
      <c r="C76" s="48" t="s">
        <v>913</v>
      </c>
      <c r="D76" s="8" t="s">
        <v>916</v>
      </c>
      <c r="E76" s="56"/>
      <c r="F76" s="8"/>
      <c r="G76" s="9">
        <v>21</v>
      </c>
      <c r="H76" s="9">
        <v>1918</v>
      </c>
      <c r="I76" s="41">
        <v>1966</v>
      </c>
      <c r="J76" s="36">
        <f t="shared" si="2"/>
        <v>2.5026068821689229E-2</v>
      </c>
    </row>
    <row r="77" spans="1:10" ht="18" customHeight="1" x14ac:dyDescent="0.25">
      <c r="A77" s="24" t="s">
        <v>917</v>
      </c>
      <c r="B77" s="40" t="s">
        <v>275</v>
      </c>
      <c r="C77" s="48" t="s">
        <v>913</v>
      </c>
      <c r="D77" s="8" t="s">
        <v>918</v>
      </c>
      <c r="E77" s="56"/>
      <c r="F77" s="8"/>
      <c r="G77" s="9">
        <v>27</v>
      </c>
      <c r="H77" s="9">
        <v>913</v>
      </c>
      <c r="I77" s="41">
        <v>936</v>
      </c>
      <c r="J77" s="36">
        <f t="shared" si="2"/>
        <v>2.5191675794085322E-2</v>
      </c>
    </row>
    <row r="78" spans="1:10" ht="18" customHeight="1" x14ac:dyDescent="0.25">
      <c r="A78" s="24" t="s">
        <v>919</v>
      </c>
      <c r="B78" s="40" t="s">
        <v>275</v>
      </c>
      <c r="C78" s="48" t="s">
        <v>913</v>
      </c>
      <c r="D78" s="8" t="s">
        <v>920</v>
      </c>
      <c r="E78" s="56"/>
      <c r="F78" s="14"/>
      <c r="G78" s="9">
        <v>43</v>
      </c>
      <c r="H78" s="9">
        <v>1758</v>
      </c>
      <c r="I78" s="41">
        <v>1802</v>
      </c>
      <c r="J78" s="36">
        <f t="shared" si="2"/>
        <v>2.5028441410694047E-2</v>
      </c>
    </row>
    <row r="79" spans="1:10" ht="18" customHeight="1" x14ac:dyDescent="0.25">
      <c r="A79" s="21">
        <v>75</v>
      </c>
      <c r="B79" s="40" t="s">
        <v>275</v>
      </c>
      <c r="C79" s="48" t="s">
        <v>221</v>
      </c>
      <c r="D79" s="8" t="s">
        <v>222</v>
      </c>
      <c r="E79" s="56" t="s">
        <v>180</v>
      </c>
      <c r="F79" s="15" t="s">
        <v>181</v>
      </c>
      <c r="G79" s="9">
        <v>62</v>
      </c>
      <c r="H79" s="9">
        <v>17</v>
      </c>
      <c r="I79" s="41">
        <v>17.3995</v>
      </c>
      <c r="J79" s="36">
        <f t="shared" si="2"/>
        <v>2.3500000000000076E-2</v>
      </c>
    </row>
    <row r="80" spans="1:10" ht="18" customHeight="1" x14ac:dyDescent="0.25">
      <c r="A80" s="21">
        <v>76</v>
      </c>
      <c r="B80" s="40" t="s">
        <v>275</v>
      </c>
      <c r="C80" s="48" t="s">
        <v>221</v>
      </c>
      <c r="D80" s="8" t="s">
        <v>222</v>
      </c>
      <c r="E80" s="56" t="s">
        <v>180</v>
      </c>
      <c r="F80" s="14" t="s">
        <v>189</v>
      </c>
      <c r="G80" s="9">
        <v>91</v>
      </c>
      <c r="H80" s="9">
        <v>17</v>
      </c>
      <c r="I80" s="41">
        <v>17.3995</v>
      </c>
      <c r="J80" s="36">
        <f t="shared" si="2"/>
        <v>2.3500000000000076E-2</v>
      </c>
    </row>
    <row r="81" spans="1:10" ht="18" customHeight="1" x14ac:dyDescent="0.25">
      <c r="A81" s="21">
        <v>77</v>
      </c>
      <c r="B81" s="40" t="s">
        <v>275</v>
      </c>
      <c r="C81" s="48" t="s">
        <v>221</v>
      </c>
      <c r="D81" s="8" t="s">
        <v>222</v>
      </c>
      <c r="E81" s="56" t="s">
        <v>180</v>
      </c>
      <c r="F81" s="8" t="s">
        <v>187</v>
      </c>
      <c r="G81" s="9">
        <v>10</v>
      </c>
      <c r="H81" s="9">
        <v>17</v>
      </c>
      <c r="I81" s="41">
        <v>17.3995</v>
      </c>
      <c r="J81" s="36">
        <f t="shared" si="2"/>
        <v>2.3500000000000076E-2</v>
      </c>
    </row>
    <row r="82" spans="1:10" ht="18" customHeight="1" x14ac:dyDescent="0.25">
      <c r="A82" s="21">
        <v>78</v>
      </c>
      <c r="B82" s="40" t="s">
        <v>275</v>
      </c>
      <c r="C82" s="48" t="s">
        <v>221</v>
      </c>
      <c r="D82" s="8" t="s">
        <v>222</v>
      </c>
      <c r="E82" s="56" t="s">
        <v>180</v>
      </c>
      <c r="F82" s="8" t="s">
        <v>188</v>
      </c>
      <c r="G82" s="9">
        <v>12.5</v>
      </c>
      <c r="H82" s="9">
        <v>17.97</v>
      </c>
      <c r="I82" s="41">
        <v>18.232499999999998</v>
      </c>
      <c r="J82" s="36">
        <f t="shared" si="2"/>
        <v>1.4607679465776346E-2</v>
      </c>
    </row>
    <row r="83" spans="1:10" ht="18" customHeight="1" x14ac:dyDescent="0.25">
      <c r="A83" s="21">
        <v>79</v>
      </c>
      <c r="B83" s="40" t="s">
        <v>275</v>
      </c>
      <c r="C83" s="48" t="s">
        <v>221</v>
      </c>
      <c r="D83" s="8" t="s">
        <v>222</v>
      </c>
      <c r="E83" s="56" t="s">
        <v>180</v>
      </c>
      <c r="F83" s="8" t="s">
        <v>223</v>
      </c>
      <c r="G83" s="9">
        <v>18</v>
      </c>
      <c r="H83" s="9">
        <v>23.96</v>
      </c>
      <c r="I83" s="41">
        <v>23.96</v>
      </c>
      <c r="J83" s="36">
        <f t="shared" si="2"/>
        <v>0</v>
      </c>
    </row>
    <row r="84" spans="1:10" ht="18" customHeight="1" x14ac:dyDescent="0.25">
      <c r="A84" s="21">
        <v>80</v>
      </c>
      <c r="B84" s="40" t="s">
        <v>275</v>
      </c>
      <c r="C84" s="48" t="s">
        <v>221</v>
      </c>
      <c r="D84" s="8" t="s">
        <v>222</v>
      </c>
      <c r="E84" s="56" t="s">
        <v>180</v>
      </c>
      <c r="F84" s="8" t="s">
        <v>224</v>
      </c>
      <c r="G84" s="9">
        <v>28</v>
      </c>
      <c r="H84" s="9">
        <v>24.9</v>
      </c>
      <c r="I84" s="41">
        <v>32.707999999999998</v>
      </c>
      <c r="J84" s="36">
        <f t="shared" si="2"/>
        <v>0.31357429718875496</v>
      </c>
    </row>
    <row r="85" spans="1:10" ht="18" customHeight="1" x14ac:dyDescent="0.25">
      <c r="A85" s="20">
        <v>81</v>
      </c>
      <c r="B85" s="38" t="s">
        <v>275</v>
      </c>
      <c r="C85" s="50" t="s">
        <v>221</v>
      </c>
      <c r="D85" s="7" t="s">
        <v>222</v>
      </c>
      <c r="E85" s="55" t="s">
        <v>180</v>
      </c>
      <c r="F85" s="7" t="s">
        <v>225</v>
      </c>
      <c r="G85" s="6">
        <v>120</v>
      </c>
      <c r="H85" s="6">
        <v>35</v>
      </c>
      <c r="I85" s="39">
        <v>43.945</v>
      </c>
      <c r="J85" s="35">
        <f t="shared" si="2"/>
        <v>0.25557142857142856</v>
      </c>
    </row>
    <row r="86" spans="1:10" ht="18" customHeight="1" x14ac:dyDescent="0.25">
      <c r="A86" s="20">
        <v>82</v>
      </c>
      <c r="B86" s="38" t="s">
        <v>275</v>
      </c>
      <c r="C86" s="50" t="s">
        <v>221</v>
      </c>
      <c r="D86" s="7" t="s">
        <v>222</v>
      </c>
      <c r="E86" s="55" t="s">
        <v>180</v>
      </c>
      <c r="F86" s="7" t="s">
        <v>226</v>
      </c>
      <c r="G86" s="6">
        <v>21</v>
      </c>
      <c r="H86" s="6">
        <v>70</v>
      </c>
      <c r="I86" s="39">
        <v>84.430499999999995</v>
      </c>
      <c r="J86" s="35">
        <f t="shared" si="2"/>
        <v>0.20614999999999983</v>
      </c>
    </row>
    <row r="87" spans="1:10" ht="18" customHeight="1" x14ac:dyDescent="0.25">
      <c r="A87" s="21">
        <v>83</v>
      </c>
      <c r="B87" s="40" t="s">
        <v>275</v>
      </c>
      <c r="C87" s="48" t="s">
        <v>221</v>
      </c>
      <c r="D87" s="8" t="s">
        <v>222</v>
      </c>
      <c r="E87" s="56" t="s">
        <v>180</v>
      </c>
      <c r="F87" s="8" t="s">
        <v>227</v>
      </c>
      <c r="G87" s="9">
        <v>6.5</v>
      </c>
      <c r="H87" s="9">
        <v>108</v>
      </c>
      <c r="I87" s="41">
        <v>112.42099999999999</v>
      </c>
      <c r="J87" s="36">
        <f t="shared" si="2"/>
        <v>4.093518518518513E-2</v>
      </c>
    </row>
    <row r="88" spans="1:10" ht="18" customHeight="1" x14ac:dyDescent="0.25">
      <c r="A88" s="21">
        <v>84</v>
      </c>
      <c r="B88" s="40" t="s">
        <v>275</v>
      </c>
      <c r="C88" s="48" t="s">
        <v>221</v>
      </c>
      <c r="D88" s="8" t="s">
        <v>222</v>
      </c>
      <c r="E88" s="56" t="s">
        <v>180</v>
      </c>
      <c r="F88" s="8" t="s">
        <v>228</v>
      </c>
      <c r="G88" s="9">
        <v>6.5</v>
      </c>
      <c r="H88" s="9">
        <v>145</v>
      </c>
      <c r="I88" s="41">
        <v>236.5635</v>
      </c>
      <c r="J88" s="36">
        <f t="shared" si="2"/>
        <v>0.63147241379310337</v>
      </c>
    </row>
    <row r="89" spans="1:10" ht="18" customHeight="1" x14ac:dyDescent="0.25">
      <c r="A89" s="20">
        <v>85</v>
      </c>
      <c r="B89" s="38" t="s">
        <v>275</v>
      </c>
      <c r="C89" s="50" t="s">
        <v>221</v>
      </c>
      <c r="D89" s="7" t="s">
        <v>229</v>
      </c>
      <c r="E89" s="55" t="s">
        <v>364</v>
      </c>
      <c r="F89" s="7" t="s">
        <v>187</v>
      </c>
      <c r="G89" s="6">
        <v>8.5</v>
      </c>
      <c r="H89" s="6">
        <v>19</v>
      </c>
      <c r="I89" s="39">
        <v>19.200000000000003</v>
      </c>
      <c r="J89" s="35">
        <f t="shared" si="2"/>
        <v>1.0526315789473939E-2</v>
      </c>
    </row>
    <row r="90" spans="1:10" ht="18" customHeight="1" x14ac:dyDescent="0.25">
      <c r="A90" s="20">
        <v>86</v>
      </c>
      <c r="B90" s="38" t="s">
        <v>275</v>
      </c>
      <c r="C90" s="50" t="s">
        <v>221</v>
      </c>
      <c r="D90" s="7" t="s">
        <v>229</v>
      </c>
      <c r="E90" s="55" t="s">
        <v>364</v>
      </c>
      <c r="F90" s="7" t="s">
        <v>188</v>
      </c>
      <c r="G90" s="6">
        <v>9.5</v>
      </c>
      <c r="H90" s="6">
        <v>26</v>
      </c>
      <c r="I90" s="39">
        <v>26.8</v>
      </c>
      <c r="J90" s="35">
        <f t="shared" si="2"/>
        <v>3.0769230769230882E-2</v>
      </c>
    </row>
    <row r="91" spans="1:10" ht="18" customHeight="1" x14ac:dyDescent="0.25">
      <c r="A91" s="20">
        <v>87</v>
      </c>
      <c r="B91" s="38" t="s">
        <v>275</v>
      </c>
      <c r="C91" s="50" t="s">
        <v>221</v>
      </c>
      <c r="D91" s="7" t="s">
        <v>229</v>
      </c>
      <c r="E91" s="55" t="s">
        <v>364</v>
      </c>
      <c r="F91" s="7" t="s">
        <v>86</v>
      </c>
      <c r="G91" s="6">
        <v>12.5</v>
      </c>
      <c r="H91" s="6">
        <v>28.5</v>
      </c>
      <c r="I91" s="39">
        <v>28.8</v>
      </c>
      <c r="J91" s="35">
        <f t="shared" si="2"/>
        <v>1.0526315789473717E-2</v>
      </c>
    </row>
    <row r="92" spans="1:10" ht="18" customHeight="1" x14ac:dyDescent="0.25">
      <c r="A92" s="20">
        <v>88</v>
      </c>
      <c r="B92" s="38" t="s">
        <v>275</v>
      </c>
      <c r="C92" s="50" t="s">
        <v>221</v>
      </c>
      <c r="D92" s="7" t="s">
        <v>87</v>
      </c>
      <c r="E92" s="55" t="s">
        <v>197</v>
      </c>
      <c r="F92" s="7" t="s">
        <v>88</v>
      </c>
      <c r="G92" s="6">
        <v>15.5</v>
      </c>
      <c r="H92" s="6">
        <v>12.5</v>
      </c>
      <c r="I92" s="39">
        <v>12.812499999999998</v>
      </c>
      <c r="J92" s="35">
        <f t="shared" si="2"/>
        <v>2.4999999999999911E-2</v>
      </c>
    </row>
    <row r="93" spans="1:10" ht="18" customHeight="1" x14ac:dyDescent="0.25">
      <c r="A93" s="20">
        <v>89</v>
      </c>
      <c r="B93" s="38" t="s">
        <v>275</v>
      </c>
      <c r="C93" s="50" t="s">
        <v>230</v>
      </c>
      <c r="D93" s="7" t="s">
        <v>231</v>
      </c>
      <c r="E93" s="55" t="s">
        <v>232</v>
      </c>
      <c r="F93" s="7" t="s">
        <v>233</v>
      </c>
      <c r="G93" s="6">
        <v>23</v>
      </c>
      <c r="H93" s="6">
        <v>150</v>
      </c>
      <c r="I93" s="39">
        <v>153.75</v>
      </c>
      <c r="J93" s="35">
        <f t="shared" si="2"/>
        <v>2.4999999999999911E-2</v>
      </c>
    </row>
    <row r="94" spans="1:10" ht="18" customHeight="1" x14ac:dyDescent="0.25">
      <c r="A94" s="20">
        <v>90</v>
      </c>
      <c r="B94" s="38" t="s">
        <v>275</v>
      </c>
      <c r="C94" s="50" t="s">
        <v>230</v>
      </c>
      <c r="D94" s="7" t="s">
        <v>91</v>
      </c>
      <c r="E94" s="55" t="s">
        <v>197</v>
      </c>
      <c r="F94" s="7" t="s">
        <v>92</v>
      </c>
      <c r="G94" s="6">
        <v>36.5</v>
      </c>
      <c r="H94" s="6">
        <v>20</v>
      </c>
      <c r="I94" s="39">
        <v>20.5</v>
      </c>
      <c r="J94" s="35">
        <f t="shared" si="2"/>
        <v>2.4999999999999911E-2</v>
      </c>
    </row>
    <row r="95" spans="1:10" ht="18" customHeight="1" x14ac:dyDescent="0.25">
      <c r="A95" s="21">
        <v>91</v>
      </c>
      <c r="B95" s="40" t="s">
        <v>275</v>
      </c>
      <c r="C95" s="51" t="s">
        <v>234</v>
      </c>
      <c r="D95" s="8" t="s">
        <v>121</v>
      </c>
      <c r="E95" s="56" t="s">
        <v>235</v>
      </c>
      <c r="F95" s="8" t="s">
        <v>122</v>
      </c>
      <c r="G95" s="9">
        <v>3</v>
      </c>
      <c r="H95" s="9">
        <v>11</v>
      </c>
      <c r="I95" s="41">
        <v>11.274999999999999</v>
      </c>
      <c r="J95" s="36">
        <f t="shared" si="2"/>
        <v>2.4999999999999911E-2</v>
      </c>
    </row>
    <row r="96" spans="1:10" ht="18" customHeight="1" x14ac:dyDescent="0.25">
      <c r="A96" s="21">
        <v>92</v>
      </c>
      <c r="B96" s="40" t="s">
        <v>275</v>
      </c>
      <c r="C96" s="51" t="s">
        <v>234</v>
      </c>
      <c r="D96" s="8" t="s">
        <v>123</v>
      </c>
      <c r="E96" s="56" t="s">
        <v>235</v>
      </c>
      <c r="F96" s="8" t="s">
        <v>124</v>
      </c>
      <c r="G96" s="9">
        <v>4.5</v>
      </c>
      <c r="H96" s="9">
        <v>11</v>
      </c>
      <c r="I96" s="41">
        <v>11.274999999999999</v>
      </c>
      <c r="J96" s="36">
        <f t="shared" si="2"/>
        <v>2.4999999999999911E-2</v>
      </c>
    </row>
    <row r="97" spans="1:10" ht="18" customHeight="1" x14ac:dyDescent="0.25">
      <c r="A97" s="21">
        <v>93</v>
      </c>
      <c r="B97" s="40" t="s">
        <v>275</v>
      </c>
      <c r="C97" s="51" t="s">
        <v>93</v>
      </c>
      <c r="D97" s="8" t="s">
        <v>93</v>
      </c>
      <c r="E97" s="56" t="s">
        <v>921</v>
      </c>
      <c r="F97" s="8" t="s">
        <v>46</v>
      </c>
      <c r="G97" s="9">
        <v>1.5</v>
      </c>
      <c r="H97" s="9">
        <v>16.5</v>
      </c>
      <c r="I97" s="41">
        <v>16.804500000000001</v>
      </c>
      <c r="J97" s="36">
        <f t="shared" si="2"/>
        <v>1.8454545454545501E-2</v>
      </c>
    </row>
    <row r="98" spans="1:10" ht="18" customHeight="1" x14ac:dyDescent="0.25">
      <c r="A98" s="21">
        <v>94</v>
      </c>
      <c r="B98" s="40" t="s">
        <v>275</v>
      </c>
      <c r="C98" s="51" t="s">
        <v>93</v>
      </c>
      <c r="D98" s="8" t="s">
        <v>93</v>
      </c>
      <c r="E98" s="56" t="s">
        <v>921</v>
      </c>
      <c r="F98" s="8" t="s">
        <v>83</v>
      </c>
      <c r="G98" s="9">
        <v>4.5</v>
      </c>
      <c r="H98" s="9">
        <v>19</v>
      </c>
      <c r="I98" s="41">
        <v>21.1905</v>
      </c>
      <c r="J98" s="36">
        <f t="shared" si="2"/>
        <v>0.1152894736842105</v>
      </c>
    </row>
    <row r="99" spans="1:10" ht="18" customHeight="1" x14ac:dyDescent="0.25">
      <c r="A99" s="21">
        <v>95</v>
      </c>
      <c r="B99" s="40" t="s">
        <v>275</v>
      </c>
      <c r="C99" s="51" t="s">
        <v>93</v>
      </c>
      <c r="D99" s="8" t="s">
        <v>93</v>
      </c>
      <c r="E99" s="56" t="s">
        <v>921</v>
      </c>
      <c r="F99" s="8" t="s">
        <v>84</v>
      </c>
      <c r="G99" s="9">
        <v>6</v>
      </c>
      <c r="H99" s="9">
        <v>24</v>
      </c>
      <c r="I99" s="41">
        <v>24</v>
      </c>
      <c r="J99" s="36">
        <f t="shared" si="2"/>
        <v>0</v>
      </c>
    </row>
    <row r="100" spans="1:10" ht="18" customHeight="1" x14ac:dyDescent="0.25">
      <c r="A100" s="21">
        <v>96</v>
      </c>
      <c r="B100" s="40" t="s">
        <v>275</v>
      </c>
      <c r="C100" s="51" t="s">
        <v>93</v>
      </c>
      <c r="D100" s="8" t="s">
        <v>93</v>
      </c>
      <c r="E100" s="56" t="s">
        <v>921</v>
      </c>
      <c r="F100" s="8" t="s">
        <v>85</v>
      </c>
      <c r="G100" s="9">
        <v>4.5</v>
      </c>
      <c r="H100" s="9">
        <v>31</v>
      </c>
      <c r="I100" s="41">
        <v>31</v>
      </c>
      <c r="J100" s="36">
        <f t="shared" si="2"/>
        <v>0</v>
      </c>
    </row>
    <row r="101" spans="1:10" ht="18" customHeight="1" x14ac:dyDescent="0.25">
      <c r="A101" s="21">
        <v>97</v>
      </c>
      <c r="B101" s="40" t="s">
        <v>275</v>
      </c>
      <c r="C101" s="51" t="s">
        <v>93</v>
      </c>
      <c r="D101" s="8" t="s">
        <v>93</v>
      </c>
      <c r="E101" s="56" t="s">
        <v>921</v>
      </c>
      <c r="F101" s="8" t="s">
        <v>94</v>
      </c>
      <c r="G101" s="9">
        <v>8</v>
      </c>
      <c r="H101" s="9">
        <v>48</v>
      </c>
      <c r="I101" s="41">
        <v>48</v>
      </c>
      <c r="J101" s="36">
        <f t="shared" si="2"/>
        <v>0</v>
      </c>
    </row>
    <row r="102" spans="1:10" ht="18" customHeight="1" x14ac:dyDescent="0.25">
      <c r="A102" s="21">
        <v>98</v>
      </c>
      <c r="B102" s="40" t="s">
        <v>275</v>
      </c>
      <c r="C102" s="51" t="s">
        <v>93</v>
      </c>
      <c r="D102" s="8" t="s">
        <v>93</v>
      </c>
      <c r="E102" s="56" t="s">
        <v>921</v>
      </c>
      <c r="F102" s="8" t="s">
        <v>95</v>
      </c>
      <c r="G102" s="9">
        <v>6</v>
      </c>
      <c r="H102" s="9">
        <v>68</v>
      </c>
      <c r="I102" s="41">
        <v>68</v>
      </c>
      <c r="J102" s="36">
        <f t="shared" si="2"/>
        <v>0</v>
      </c>
    </row>
    <row r="103" spans="1:10" ht="18" customHeight="1" x14ac:dyDescent="0.25">
      <c r="A103" s="20">
        <v>99</v>
      </c>
      <c r="B103" s="38" t="s">
        <v>104</v>
      </c>
      <c r="C103" s="50" t="s">
        <v>236</v>
      </c>
      <c r="D103" s="7" t="s">
        <v>237</v>
      </c>
      <c r="E103" s="55" t="s">
        <v>238</v>
      </c>
      <c r="F103" s="7" t="s">
        <v>239</v>
      </c>
      <c r="G103" s="6">
        <f>2.5/1.12</f>
        <v>2.2321428571428568</v>
      </c>
      <c r="H103" s="6">
        <v>4.5</v>
      </c>
      <c r="I103" s="39">
        <v>4.93</v>
      </c>
      <c r="J103" s="35">
        <f t="shared" si="2"/>
        <v>9.5555555555555394E-2</v>
      </c>
    </row>
    <row r="104" spans="1:10" ht="18" customHeight="1" x14ac:dyDescent="0.25">
      <c r="A104" s="20">
        <v>100</v>
      </c>
      <c r="B104" s="38" t="s">
        <v>104</v>
      </c>
      <c r="C104" s="50" t="s">
        <v>236</v>
      </c>
      <c r="D104" s="7" t="s">
        <v>240</v>
      </c>
      <c r="E104" s="55" t="s">
        <v>238</v>
      </c>
      <c r="F104" s="7" t="s">
        <v>241</v>
      </c>
      <c r="G104" s="6">
        <f>3.5/1.12</f>
        <v>3.1249999999999996</v>
      </c>
      <c r="H104" s="6">
        <v>6</v>
      </c>
      <c r="I104" s="39">
        <v>6.9699999999999989</v>
      </c>
      <c r="J104" s="35">
        <f t="shared" si="2"/>
        <v>0.1616666666666664</v>
      </c>
    </row>
    <row r="105" spans="1:10" ht="18" customHeight="1" x14ac:dyDescent="0.25">
      <c r="A105" s="20">
        <v>101</v>
      </c>
      <c r="B105" s="38" t="s">
        <v>104</v>
      </c>
      <c r="C105" s="50" t="s">
        <v>236</v>
      </c>
      <c r="D105" s="7" t="s">
        <v>103</v>
      </c>
      <c r="E105" s="55" t="s">
        <v>238</v>
      </c>
      <c r="F105" s="7" t="s">
        <v>242</v>
      </c>
      <c r="G105" s="6">
        <f>4/1.12</f>
        <v>3.5714285714285712</v>
      </c>
      <c r="H105" s="6">
        <v>2.5</v>
      </c>
      <c r="I105" s="39">
        <v>3.4</v>
      </c>
      <c r="J105" s="35">
        <f t="shared" si="2"/>
        <v>0.35999999999999988</v>
      </c>
    </row>
    <row r="106" spans="1:10" ht="18" customHeight="1" x14ac:dyDescent="0.25">
      <c r="A106" s="20">
        <v>102</v>
      </c>
      <c r="B106" s="38" t="s">
        <v>104</v>
      </c>
      <c r="C106" s="50" t="s">
        <v>236</v>
      </c>
      <c r="D106" s="7" t="s">
        <v>243</v>
      </c>
      <c r="E106" s="55" t="s">
        <v>238</v>
      </c>
      <c r="F106" s="7" t="s">
        <v>244</v>
      </c>
      <c r="G106" s="6">
        <f>5/1.12</f>
        <v>4.4642857142857135</v>
      </c>
      <c r="H106" s="6">
        <v>6.5</v>
      </c>
      <c r="I106" s="39">
        <v>7.14</v>
      </c>
      <c r="J106" s="35">
        <f t="shared" si="2"/>
        <v>9.8461538461538378E-2</v>
      </c>
    </row>
    <row r="107" spans="1:10" ht="18" customHeight="1" x14ac:dyDescent="0.25">
      <c r="A107" s="20">
        <v>103</v>
      </c>
      <c r="B107" s="38" t="s">
        <v>104</v>
      </c>
      <c r="C107" s="50" t="s">
        <v>236</v>
      </c>
      <c r="D107" s="7" t="s">
        <v>245</v>
      </c>
      <c r="E107" s="55" t="s">
        <v>238</v>
      </c>
      <c r="F107" s="7" t="s">
        <v>246</v>
      </c>
      <c r="G107" s="6">
        <f>7/1.12</f>
        <v>6.2499999999999991</v>
      </c>
      <c r="H107" s="6">
        <v>9.5</v>
      </c>
      <c r="I107" s="39">
        <v>10.199999999999999</v>
      </c>
      <c r="J107" s="35">
        <f t="shared" si="2"/>
        <v>7.3684210526315796E-2</v>
      </c>
    </row>
    <row r="108" spans="1:10" ht="18" customHeight="1" x14ac:dyDescent="0.25">
      <c r="A108" s="20">
        <v>104</v>
      </c>
      <c r="B108" s="38" t="s">
        <v>104</v>
      </c>
      <c r="C108" s="50" t="s">
        <v>236</v>
      </c>
      <c r="D108" s="7" t="s">
        <v>103</v>
      </c>
      <c r="E108" s="55" t="s">
        <v>238</v>
      </c>
      <c r="F108" s="7" t="s">
        <v>247</v>
      </c>
      <c r="G108" s="6">
        <v>8</v>
      </c>
      <c r="H108" s="6">
        <v>6.5</v>
      </c>
      <c r="I108" s="39">
        <v>7.9050000000000002</v>
      </c>
      <c r="J108" s="35">
        <f t="shared" si="2"/>
        <v>0.21615384615384614</v>
      </c>
    </row>
    <row r="109" spans="1:10" ht="18" customHeight="1" x14ac:dyDescent="0.25">
      <c r="A109" s="20">
        <v>105</v>
      </c>
      <c r="B109" s="38" t="s">
        <v>104</v>
      </c>
      <c r="C109" s="50" t="s">
        <v>236</v>
      </c>
      <c r="D109" s="7" t="s">
        <v>243</v>
      </c>
      <c r="E109" s="55" t="s">
        <v>238</v>
      </c>
      <c r="F109" s="7" t="s">
        <v>248</v>
      </c>
      <c r="G109" s="6">
        <v>10</v>
      </c>
      <c r="H109" s="6">
        <v>14</v>
      </c>
      <c r="I109" s="39">
        <v>15.299999999999999</v>
      </c>
      <c r="J109" s="35">
        <f t="shared" si="2"/>
        <v>9.2857142857142749E-2</v>
      </c>
    </row>
    <row r="110" spans="1:10" ht="18" customHeight="1" x14ac:dyDescent="0.25">
      <c r="A110" s="20">
        <v>106</v>
      </c>
      <c r="B110" s="38" t="s">
        <v>104</v>
      </c>
      <c r="C110" s="50" t="s">
        <v>236</v>
      </c>
      <c r="D110" s="7" t="s">
        <v>245</v>
      </c>
      <c r="E110" s="55" t="s">
        <v>238</v>
      </c>
      <c r="F110" s="7" t="s">
        <v>249</v>
      </c>
      <c r="G110" s="6">
        <v>13</v>
      </c>
      <c r="H110" s="6">
        <v>5</v>
      </c>
      <c r="I110" s="39">
        <v>6.29</v>
      </c>
      <c r="J110" s="35">
        <f t="shared" si="2"/>
        <v>0.25800000000000001</v>
      </c>
    </row>
    <row r="111" spans="1:10" ht="18" customHeight="1" x14ac:dyDescent="0.25">
      <c r="A111" s="20">
        <v>107</v>
      </c>
      <c r="B111" s="38" t="s">
        <v>104</v>
      </c>
      <c r="C111" s="50" t="s">
        <v>250</v>
      </c>
      <c r="D111" s="7" t="s">
        <v>250</v>
      </c>
      <c r="E111" s="55" t="s">
        <v>251</v>
      </c>
      <c r="F111" s="7" t="s">
        <v>252</v>
      </c>
      <c r="G111" s="6">
        <v>24</v>
      </c>
      <c r="H111" s="6">
        <v>3.75</v>
      </c>
      <c r="I111" s="39">
        <v>4.875</v>
      </c>
      <c r="J111" s="35">
        <f t="shared" si="2"/>
        <v>0.30000000000000004</v>
      </c>
    </row>
    <row r="112" spans="1:10" ht="18" customHeight="1" x14ac:dyDescent="0.25">
      <c r="A112" s="21">
        <v>108</v>
      </c>
      <c r="B112" s="40" t="s">
        <v>104</v>
      </c>
      <c r="C112" s="51" t="s">
        <v>250</v>
      </c>
      <c r="D112" s="8" t="s">
        <v>250</v>
      </c>
      <c r="E112" s="56" t="s">
        <v>251</v>
      </c>
      <c r="F112" s="8" t="s">
        <v>253</v>
      </c>
      <c r="G112" s="9">
        <v>0.52448190327613098</v>
      </c>
      <c r="H112" s="9">
        <v>4</v>
      </c>
      <c r="I112" s="41">
        <v>5.2</v>
      </c>
      <c r="J112" s="36">
        <f t="shared" si="2"/>
        <v>0.30000000000000004</v>
      </c>
    </row>
    <row r="113" spans="1:10" ht="18" customHeight="1" x14ac:dyDescent="0.25">
      <c r="A113" s="21">
        <v>109</v>
      </c>
      <c r="B113" s="40" t="s">
        <v>104</v>
      </c>
      <c r="C113" s="51" t="s">
        <v>250</v>
      </c>
      <c r="D113" s="8" t="s">
        <v>250</v>
      </c>
      <c r="E113" s="56" t="s">
        <v>251</v>
      </c>
      <c r="F113" s="8" t="s">
        <v>254</v>
      </c>
      <c r="G113" s="9">
        <v>0.61490982839313568</v>
      </c>
      <c r="H113" s="9">
        <v>5</v>
      </c>
      <c r="I113" s="41">
        <v>6.5</v>
      </c>
      <c r="J113" s="36">
        <f t="shared" si="2"/>
        <v>0.30000000000000004</v>
      </c>
    </row>
    <row r="114" spans="1:10" ht="18" customHeight="1" x14ac:dyDescent="0.25">
      <c r="A114" s="21">
        <v>110</v>
      </c>
      <c r="B114" s="40" t="s">
        <v>104</v>
      </c>
      <c r="C114" s="51" t="s">
        <v>250</v>
      </c>
      <c r="D114" s="8" t="s">
        <v>250</v>
      </c>
      <c r="E114" s="56" t="s">
        <v>251</v>
      </c>
      <c r="F114" s="8" t="s">
        <v>255</v>
      </c>
      <c r="G114" s="9">
        <v>0.71257191887675508</v>
      </c>
      <c r="H114" s="9">
        <v>6</v>
      </c>
      <c r="I114" s="41">
        <v>7.8000000000000007</v>
      </c>
      <c r="J114" s="36">
        <f t="shared" si="2"/>
        <v>0.30000000000000004</v>
      </c>
    </row>
    <row r="115" spans="1:10" ht="18" customHeight="1" x14ac:dyDescent="0.25">
      <c r="A115" s="21">
        <v>111</v>
      </c>
      <c r="B115" s="40" t="s">
        <v>104</v>
      </c>
      <c r="C115" s="51" t="s">
        <v>250</v>
      </c>
      <c r="D115" s="8" t="s">
        <v>250</v>
      </c>
      <c r="E115" s="56" t="s">
        <v>251</v>
      </c>
      <c r="F115" s="8" t="s">
        <v>256</v>
      </c>
      <c r="G115" s="9">
        <v>0.83555397815912635</v>
      </c>
      <c r="H115" s="9">
        <v>9</v>
      </c>
      <c r="I115" s="41">
        <v>11.700000000000001</v>
      </c>
      <c r="J115" s="36">
        <f t="shared" si="2"/>
        <v>0.30000000000000004</v>
      </c>
    </row>
    <row r="116" spans="1:10" ht="18" customHeight="1" x14ac:dyDescent="0.25">
      <c r="A116" s="21">
        <v>112</v>
      </c>
      <c r="B116" s="40" t="s">
        <v>104</v>
      </c>
      <c r="C116" s="51" t="s">
        <v>250</v>
      </c>
      <c r="D116" s="8" t="s">
        <v>257</v>
      </c>
      <c r="E116" s="56" t="s">
        <v>251</v>
      </c>
      <c r="F116" s="8" t="s">
        <v>258</v>
      </c>
      <c r="G116" s="9">
        <v>0.97119578783151328</v>
      </c>
      <c r="H116" s="9">
        <v>12.66</v>
      </c>
      <c r="I116" s="41">
        <v>16.458000000000002</v>
      </c>
      <c r="J116" s="36">
        <f t="shared" si="2"/>
        <v>0.30000000000000004</v>
      </c>
    </row>
    <row r="117" spans="1:10" ht="18" customHeight="1" x14ac:dyDescent="0.25">
      <c r="A117" s="21">
        <v>113</v>
      </c>
      <c r="B117" s="40" t="s">
        <v>104</v>
      </c>
      <c r="C117" s="51" t="s">
        <v>250</v>
      </c>
      <c r="D117" s="8" t="s">
        <v>250</v>
      </c>
      <c r="E117" s="56" t="s">
        <v>251</v>
      </c>
      <c r="F117" s="8" t="s">
        <v>259</v>
      </c>
      <c r="G117" s="9">
        <v>1.2</v>
      </c>
      <c r="H117" s="9">
        <v>15.68</v>
      </c>
      <c r="I117" s="41">
        <v>20.384</v>
      </c>
      <c r="J117" s="36">
        <f t="shared" si="2"/>
        <v>0.30000000000000004</v>
      </c>
    </row>
    <row r="118" spans="1:10" ht="18" customHeight="1" x14ac:dyDescent="0.25">
      <c r="A118" s="20">
        <v>114</v>
      </c>
      <c r="B118" s="38" t="s">
        <v>275</v>
      </c>
      <c r="C118" s="50" t="s">
        <v>250</v>
      </c>
      <c r="D118" s="7" t="s">
        <v>250</v>
      </c>
      <c r="E118" s="55" t="s">
        <v>251</v>
      </c>
      <c r="F118" s="7" t="s">
        <v>260</v>
      </c>
      <c r="G118" s="6">
        <v>0.4</v>
      </c>
      <c r="H118" s="6">
        <v>18.96</v>
      </c>
      <c r="I118" s="39">
        <v>24.648000000000003</v>
      </c>
      <c r="J118" s="35">
        <f t="shared" si="2"/>
        <v>0.30000000000000004</v>
      </c>
    </row>
    <row r="119" spans="1:10" ht="18" customHeight="1" x14ac:dyDescent="0.25">
      <c r="A119" s="20">
        <v>115</v>
      </c>
      <c r="B119" s="38" t="s">
        <v>275</v>
      </c>
      <c r="C119" s="50" t="s">
        <v>250</v>
      </c>
      <c r="D119" s="7" t="s">
        <v>250</v>
      </c>
      <c r="E119" s="55" t="s">
        <v>251</v>
      </c>
      <c r="F119" s="7" t="s">
        <v>261</v>
      </c>
      <c r="G119" s="6">
        <v>0.6</v>
      </c>
      <c r="H119" s="6">
        <v>39</v>
      </c>
      <c r="I119" s="39">
        <v>50.7</v>
      </c>
      <c r="J119" s="35">
        <f t="shared" si="2"/>
        <v>0.30000000000000004</v>
      </c>
    </row>
    <row r="120" spans="1:10" ht="18" customHeight="1" x14ac:dyDescent="0.25">
      <c r="A120" s="20">
        <v>116</v>
      </c>
      <c r="B120" s="38" t="s">
        <v>275</v>
      </c>
      <c r="C120" s="50" t="s">
        <v>262</v>
      </c>
      <c r="D120" s="7" t="s">
        <v>105</v>
      </c>
      <c r="E120" s="55" t="s">
        <v>922</v>
      </c>
      <c r="F120" s="7" t="s">
        <v>923</v>
      </c>
      <c r="G120" s="6">
        <v>0.8</v>
      </c>
      <c r="H120" s="6">
        <v>0.75</v>
      </c>
      <c r="I120" s="39">
        <v>0.68879999999999997</v>
      </c>
      <c r="J120" s="35">
        <f t="shared" si="2"/>
        <v>-8.1600000000000006E-2</v>
      </c>
    </row>
    <row r="121" spans="1:10" ht="18" customHeight="1" x14ac:dyDescent="0.25">
      <c r="A121" s="20">
        <v>117</v>
      </c>
      <c r="B121" s="38" t="s">
        <v>275</v>
      </c>
      <c r="C121" s="50" t="s">
        <v>262</v>
      </c>
      <c r="D121" s="7" t="s">
        <v>105</v>
      </c>
      <c r="E121" s="55" t="s">
        <v>922</v>
      </c>
      <c r="F121" s="7" t="s">
        <v>106</v>
      </c>
      <c r="G121" s="6">
        <v>1.1000000000000001</v>
      </c>
      <c r="H121" s="6">
        <v>0.8</v>
      </c>
      <c r="I121" s="39">
        <v>0.99959999999999993</v>
      </c>
      <c r="J121" s="35">
        <f t="shared" si="2"/>
        <v>0.24949999999999983</v>
      </c>
    </row>
    <row r="122" spans="1:10" ht="18" customHeight="1" x14ac:dyDescent="0.25">
      <c r="A122" s="21">
        <v>118</v>
      </c>
      <c r="B122" s="40" t="s">
        <v>275</v>
      </c>
      <c r="C122" s="51" t="s">
        <v>262</v>
      </c>
      <c r="D122" s="8" t="s">
        <v>105</v>
      </c>
      <c r="E122" s="56" t="s">
        <v>922</v>
      </c>
      <c r="F122" s="8" t="s">
        <v>107</v>
      </c>
      <c r="G122" s="9">
        <v>0.26100000000000001</v>
      </c>
      <c r="H122" s="9">
        <v>0.8666666666666667</v>
      </c>
      <c r="I122" s="41">
        <v>1.05</v>
      </c>
      <c r="J122" s="36">
        <f t="shared" si="2"/>
        <v>0.21153846153846145</v>
      </c>
    </row>
    <row r="123" spans="1:10" ht="18" customHeight="1" x14ac:dyDescent="0.25">
      <c r="A123" s="21">
        <v>119</v>
      </c>
      <c r="B123" s="40" t="s">
        <v>275</v>
      </c>
      <c r="C123" s="51" t="s">
        <v>262</v>
      </c>
      <c r="D123" s="8" t="s">
        <v>105</v>
      </c>
      <c r="E123" s="56" t="s">
        <v>922</v>
      </c>
      <c r="F123" s="8" t="s">
        <v>108</v>
      </c>
      <c r="G123" s="9">
        <v>0.27</v>
      </c>
      <c r="H123" s="9">
        <v>1.1000000000000001</v>
      </c>
      <c r="I123" s="41">
        <v>1.0920000000000001</v>
      </c>
      <c r="J123" s="36">
        <f t="shared" si="2"/>
        <v>-7.2727272727273196E-3</v>
      </c>
    </row>
    <row r="124" spans="1:10" ht="18" customHeight="1" x14ac:dyDescent="0.25">
      <c r="A124" s="21">
        <v>120</v>
      </c>
      <c r="B124" s="40" t="s">
        <v>275</v>
      </c>
      <c r="C124" s="51" t="s">
        <v>262</v>
      </c>
      <c r="D124" s="8" t="s">
        <v>105</v>
      </c>
      <c r="E124" s="56" t="s">
        <v>922</v>
      </c>
      <c r="F124" s="8" t="s">
        <v>109</v>
      </c>
      <c r="G124" s="9">
        <v>0.432</v>
      </c>
      <c r="H124" s="9">
        <v>1.2</v>
      </c>
      <c r="I124" s="41">
        <v>1.3271999999999999</v>
      </c>
      <c r="J124" s="36">
        <f t="shared" si="2"/>
        <v>0.10600000000000009</v>
      </c>
    </row>
    <row r="125" spans="1:10" ht="18" customHeight="1" x14ac:dyDescent="0.25">
      <c r="A125" s="21">
        <v>121</v>
      </c>
      <c r="B125" s="40" t="s">
        <v>275</v>
      </c>
      <c r="C125" s="51" t="s">
        <v>262</v>
      </c>
      <c r="D125" s="8" t="s">
        <v>105</v>
      </c>
      <c r="E125" s="56" t="s">
        <v>922</v>
      </c>
      <c r="F125" s="8" t="s">
        <v>110</v>
      </c>
      <c r="G125" s="9">
        <v>0.71100000000000008</v>
      </c>
      <c r="H125" s="9">
        <v>1.25</v>
      </c>
      <c r="I125" s="41">
        <v>1.3943999999999999</v>
      </c>
      <c r="J125" s="36">
        <f t="shared" si="2"/>
        <v>0.11551999999999985</v>
      </c>
    </row>
    <row r="126" spans="1:10" ht="18" customHeight="1" x14ac:dyDescent="0.25">
      <c r="A126" s="21">
        <v>122</v>
      </c>
      <c r="B126" s="40" t="s">
        <v>275</v>
      </c>
      <c r="C126" s="51" t="s">
        <v>262</v>
      </c>
      <c r="D126" s="8" t="s">
        <v>105</v>
      </c>
      <c r="E126" s="56" t="s">
        <v>922</v>
      </c>
      <c r="F126" s="8" t="s">
        <v>111</v>
      </c>
      <c r="G126" s="9">
        <v>1.6740000000000002</v>
      </c>
      <c r="H126" s="9">
        <v>1.6</v>
      </c>
      <c r="I126" s="41">
        <v>1.5287999999999999</v>
      </c>
      <c r="J126" s="36">
        <f t="shared" si="2"/>
        <v>-4.4500000000000095E-2</v>
      </c>
    </row>
    <row r="127" spans="1:10" ht="18" customHeight="1" x14ac:dyDescent="0.25">
      <c r="A127" s="21">
        <v>123</v>
      </c>
      <c r="B127" s="40" t="s">
        <v>275</v>
      </c>
      <c r="C127" s="51" t="s">
        <v>262</v>
      </c>
      <c r="D127" s="8" t="s">
        <v>924</v>
      </c>
      <c r="E127" s="56" t="s">
        <v>922</v>
      </c>
      <c r="F127" s="8" t="s">
        <v>925</v>
      </c>
      <c r="G127" s="9">
        <v>2.2949999999999999</v>
      </c>
      <c r="H127" s="9">
        <v>0.3</v>
      </c>
      <c r="I127" s="41">
        <v>0.39</v>
      </c>
      <c r="J127" s="36">
        <f t="shared" si="2"/>
        <v>0.30000000000000004</v>
      </c>
    </row>
    <row r="128" spans="1:10" ht="18" customHeight="1" x14ac:dyDescent="0.25">
      <c r="A128" s="21">
        <v>124</v>
      </c>
      <c r="B128" s="40" t="s">
        <v>275</v>
      </c>
      <c r="C128" s="51" t="s">
        <v>262</v>
      </c>
      <c r="D128" s="8" t="s">
        <v>926</v>
      </c>
      <c r="E128" s="56" t="s">
        <v>927</v>
      </c>
      <c r="F128" s="8" t="s">
        <v>928</v>
      </c>
      <c r="G128" s="9">
        <v>6.9119999999999999</v>
      </c>
      <c r="H128" s="9">
        <v>0.2</v>
      </c>
      <c r="I128" s="41">
        <v>0.26</v>
      </c>
      <c r="J128" s="36">
        <f t="shared" si="2"/>
        <v>0.30000000000000004</v>
      </c>
    </row>
    <row r="129" spans="1:10" ht="18" customHeight="1" x14ac:dyDescent="0.25">
      <c r="A129" s="20">
        <v>125</v>
      </c>
      <c r="B129" s="38" t="s">
        <v>275</v>
      </c>
      <c r="C129" s="50" t="s">
        <v>263</v>
      </c>
      <c r="D129" s="7" t="s">
        <v>264</v>
      </c>
      <c r="E129" s="55" t="s">
        <v>265</v>
      </c>
      <c r="F129" s="7" t="s">
        <v>43</v>
      </c>
      <c r="G129" s="6">
        <v>0.36000000000000004</v>
      </c>
      <c r="H129" s="6">
        <v>0.5</v>
      </c>
      <c r="I129" s="39">
        <v>0.65</v>
      </c>
      <c r="J129" s="35">
        <f t="shared" si="2"/>
        <v>0.30000000000000004</v>
      </c>
    </row>
    <row r="130" spans="1:10" ht="18" customHeight="1" x14ac:dyDescent="0.25">
      <c r="A130" s="20">
        <v>126</v>
      </c>
      <c r="B130" s="38" t="s">
        <v>275</v>
      </c>
      <c r="C130" s="50" t="s">
        <v>263</v>
      </c>
      <c r="D130" s="7" t="s">
        <v>264</v>
      </c>
      <c r="E130" s="55" t="s">
        <v>265</v>
      </c>
      <c r="F130" s="7" t="s">
        <v>44</v>
      </c>
      <c r="G130" s="6">
        <v>0.32400000000000001</v>
      </c>
      <c r="H130" s="6">
        <v>0.75</v>
      </c>
      <c r="I130" s="39">
        <v>0.97500000000000009</v>
      </c>
      <c r="J130" s="35">
        <f t="shared" si="2"/>
        <v>0.30000000000000004</v>
      </c>
    </row>
    <row r="131" spans="1:10" ht="18" customHeight="1" x14ac:dyDescent="0.25">
      <c r="A131" s="20">
        <v>127</v>
      </c>
      <c r="B131" s="38" t="s">
        <v>275</v>
      </c>
      <c r="C131" s="50" t="s">
        <v>263</v>
      </c>
      <c r="D131" s="7" t="s">
        <v>264</v>
      </c>
      <c r="E131" s="55" t="s">
        <v>265</v>
      </c>
      <c r="F131" s="7" t="s">
        <v>45</v>
      </c>
      <c r="G131" s="6">
        <v>0.38700000000000001</v>
      </c>
      <c r="H131" s="6">
        <v>1</v>
      </c>
      <c r="I131" s="39">
        <v>1.3</v>
      </c>
      <c r="J131" s="35">
        <f t="shared" si="2"/>
        <v>0.30000000000000004</v>
      </c>
    </row>
    <row r="132" spans="1:10" ht="18" customHeight="1" x14ac:dyDescent="0.25">
      <c r="A132" s="20">
        <v>128</v>
      </c>
      <c r="B132" s="38" t="s">
        <v>275</v>
      </c>
      <c r="C132" s="50" t="s">
        <v>263</v>
      </c>
      <c r="D132" s="7" t="s">
        <v>264</v>
      </c>
      <c r="E132" s="55" t="s">
        <v>265</v>
      </c>
      <c r="F132" s="7" t="s">
        <v>46</v>
      </c>
      <c r="G132" s="6">
        <v>0.51300000000000001</v>
      </c>
      <c r="H132" s="6">
        <v>1.375</v>
      </c>
      <c r="I132" s="39">
        <v>1.7875000000000001</v>
      </c>
      <c r="J132" s="35">
        <f t="shared" si="2"/>
        <v>0.30000000000000004</v>
      </c>
    </row>
    <row r="133" spans="1:10" ht="18" customHeight="1" x14ac:dyDescent="0.25">
      <c r="A133" s="20">
        <v>129</v>
      </c>
      <c r="B133" s="38" t="s">
        <v>275</v>
      </c>
      <c r="C133" s="50" t="s">
        <v>263</v>
      </c>
      <c r="D133" s="7" t="s">
        <v>266</v>
      </c>
      <c r="E133" s="55" t="s">
        <v>929</v>
      </c>
      <c r="F133" s="7" t="s">
        <v>112</v>
      </c>
      <c r="G133" s="6">
        <v>0.71100000000000008</v>
      </c>
      <c r="H133" s="6">
        <v>0.45</v>
      </c>
      <c r="I133" s="39">
        <v>0.58500000000000008</v>
      </c>
      <c r="J133" s="35">
        <f t="shared" si="2"/>
        <v>0.30000000000000004</v>
      </c>
    </row>
    <row r="134" spans="1:10" ht="18" customHeight="1" x14ac:dyDescent="0.25">
      <c r="A134" s="20">
        <v>130</v>
      </c>
      <c r="B134" s="38" t="s">
        <v>275</v>
      </c>
      <c r="C134" s="50" t="s">
        <v>263</v>
      </c>
      <c r="D134" s="7" t="s">
        <v>266</v>
      </c>
      <c r="E134" s="55" t="s">
        <v>929</v>
      </c>
      <c r="F134" s="7" t="s">
        <v>113</v>
      </c>
      <c r="G134" s="6">
        <v>1.08</v>
      </c>
      <c r="H134" s="6">
        <v>0.66</v>
      </c>
      <c r="I134" s="39">
        <v>0.8580000000000001</v>
      </c>
      <c r="J134" s="35">
        <f t="shared" si="2"/>
        <v>0.30000000000000004</v>
      </c>
    </row>
    <row r="135" spans="1:10" ht="18" customHeight="1" x14ac:dyDescent="0.25">
      <c r="A135" s="20">
        <v>131</v>
      </c>
      <c r="B135" s="38" t="s">
        <v>275</v>
      </c>
      <c r="C135" s="50" t="s">
        <v>263</v>
      </c>
      <c r="D135" s="7" t="s">
        <v>267</v>
      </c>
      <c r="E135" s="55" t="s">
        <v>929</v>
      </c>
      <c r="F135" s="7" t="s">
        <v>114</v>
      </c>
      <c r="G135" s="6">
        <v>3.33</v>
      </c>
      <c r="H135" s="6">
        <v>1</v>
      </c>
      <c r="I135" s="39">
        <v>1.3</v>
      </c>
      <c r="J135" s="35">
        <f t="shared" si="2"/>
        <v>0.30000000000000004</v>
      </c>
    </row>
    <row r="136" spans="1:10" ht="18" customHeight="1" x14ac:dyDescent="0.25">
      <c r="A136" s="20">
        <v>132</v>
      </c>
      <c r="B136" s="38" t="s">
        <v>275</v>
      </c>
      <c r="C136" s="50" t="s">
        <v>263</v>
      </c>
      <c r="D136" s="7" t="s">
        <v>267</v>
      </c>
      <c r="E136" s="55" t="s">
        <v>929</v>
      </c>
      <c r="F136" s="7" t="s">
        <v>115</v>
      </c>
      <c r="G136" s="6">
        <v>5.0490000000000004</v>
      </c>
      <c r="H136" s="6">
        <v>1.77</v>
      </c>
      <c r="I136" s="39">
        <v>2.3010000000000002</v>
      </c>
      <c r="J136" s="35">
        <f t="shared" si="2"/>
        <v>0.30000000000000004</v>
      </c>
    </row>
    <row r="137" spans="1:10" ht="18" customHeight="1" x14ac:dyDescent="0.25">
      <c r="A137" s="20">
        <v>133</v>
      </c>
      <c r="B137" s="38" t="s">
        <v>275</v>
      </c>
      <c r="C137" s="50" t="s">
        <v>263</v>
      </c>
      <c r="D137" s="7" t="s">
        <v>267</v>
      </c>
      <c r="E137" s="55" t="s">
        <v>929</v>
      </c>
      <c r="F137" s="7" t="s">
        <v>116</v>
      </c>
      <c r="G137" s="6">
        <v>9.8730000000000011</v>
      </c>
      <c r="H137" s="6">
        <v>3</v>
      </c>
      <c r="I137" s="39">
        <v>3.9000000000000004</v>
      </c>
      <c r="J137" s="35">
        <f t="shared" si="2"/>
        <v>0.30000000000000004</v>
      </c>
    </row>
    <row r="138" spans="1:10" ht="18" customHeight="1" x14ac:dyDescent="0.25">
      <c r="A138" s="21">
        <v>134</v>
      </c>
      <c r="B138" s="40" t="s">
        <v>275</v>
      </c>
      <c r="C138" s="51" t="s">
        <v>263</v>
      </c>
      <c r="D138" s="8" t="s">
        <v>267</v>
      </c>
      <c r="E138" s="56" t="s">
        <v>929</v>
      </c>
      <c r="F138" s="8" t="s">
        <v>117</v>
      </c>
      <c r="G138" s="9">
        <v>0.36000000000000004</v>
      </c>
      <c r="H138" s="9">
        <v>5</v>
      </c>
      <c r="I138" s="41">
        <v>6.5</v>
      </c>
      <c r="J138" s="36">
        <f t="shared" si="2"/>
        <v>0.30000000000000004</v>
      </c>
    </row>
    <row r="139" spans="1:10" ht="18" customHeight="1" x14ac:dyDescent="0.25">
      <c r="A139" s="21">
        <v>135</v>
      </c>
      <c r="B139" s="40" t="s">
        <v>275</v>
      </c>
      <c r="C139" s="51" t="s">
        <v>263</v>
      </c>
      <c r="D139" s="8" t="s">
        <v>267</v>
      </c>
      <c r="E139" s="56" t="s">
        <v>929</v>
      </c>
      <c r="F139" s="8" t="s">
        <v>118</v>
      </c>
      <c r="G139" s="9">
        <v>0.81900000000000006</v>
      </c>
      <c r="H139" s="9">
        <v>9</v>
      </c>
      <c r="I139" s="41">
        <v>11.700000000000001</v>
      </c>
      <c r="J139" s="36">
        <f t="shared" ref="J139:J202" si="3">I139/H139-1</f>
        <v>0.30000000000000004</v>
      </c>
    </row>
    <row r="140" spans="1:10" ht="18" customHeight="1" x14ac:dyDescent="0.25">
      <c r="A140" s="21">
        <v>136</v>
      </c>
      <c r="B140" s="40" t="s">
        <v>275</v>
      </c>
      <c r="C140" s="51" t="s">
        <v>263</v>
      </c>
      <c r="D140" s="8" t="s">
        <v>268</v>
      </c>
      <c r="E140" s="56" t="s">
        <v>929</v>
      </c>
      <c r="F140" s="8" t="s">
        <v>119</v>
      </c>
      <c r="G140" s="9">
        <v>1.476</v>
      </c>
      <c r="H140" s="9">
        <v>0.48</v>
      </c>
      <c r="I140" s="41">
        <v>0.624</v>
      </c>
      <c r="J140" s="36">
        <f t="shared" si="3"/>
        <v>0.30000000000000004</v>
      </c>
    </row>
    <row r="141" spans="1:10" ht="18" customHeight="1" x14ac:dyDescent="0.25">
      <c r="A141" s="21">
        <v>137</v>
      </c>
      <c r="B141" s="40" t="s">
        <v>275</v>
      </c>
      <c r="C141" s="51" t="s">
        <v>263</v>
      </c>
      <c r="D141" s="8" t="s">
        <v>268</v>
      </c>
      <c r="E141" s="56" t="s">
        <v>929</v>
      </c>
      <c r="F141" s="8" t="s">
        <v>120</v>
      </c>
      <c r="G141" s="9">
        <v>2.0880000000000001</v>
      </c>
      <c r="H141" s="9">
        <v>0.8</v>
      </c>
      <c r="I141" s="41">
        <v>1.04</v>
      </c>
      <c r="J141" s="36">
        <f t="shared" si="3"/>
        <v>0.30000000000000004</v>
      </c>
    </row>
    <row r="142" spans="1:10" ht="18" customHeight="1" x14ac:dyDescent="0.25">
      <c r="A142" s="20">
        <v>138</v>
      </c>
      <c r="B142" s="38" t="s">
        <v>130</v>
      </c>
      <c r="C142" s="47" t="s">
        <v>263</v>
      </c>
      <c r="D142" s="12" t="s">
        <v>268</v>
      </c>
      <c r="E142" s="59" t="s">
        <v>929</v>
      </c>
      <c r="F142" s="12" t="s">
        <v>112</v>
      </c>
      <c r="G142" s="6">
        <v>8</v>
      </c>
      <c r="H142" s="6">
        <v>0.62</v>
      </c>
      <c r="I142" s="39">
        <v>0.80600000000000005</v>
      </c>
      <c r="J142" s="35">
        <f t="shared" si="3"/>
        <v>0.30000000000000004</v>
      </c>
    </row>
    <row r="143" spans="1:10" ht="18" customHeight="1" x14ac:dyDescent="0.25">
      <c r="A143" s="20">
        <v>139</v>
      </c>
      <c r="B143" s="38" t="s">
        <v>130</v>
      </c>
      <c r="C143" s="47" t="s">
        <v>263</v>
      </c>
      <c r="D143" s="12" t="s">
        <v>268</v>
      </c>
      <c r="E143" s="59" t="s">
        <v>929</v>
      </c>
      <c r="F143" s="12" t="s">
        <v>113</v>
      </c>
      <c r="G143" s="16">
        <v>14.5</v>
      </c>
      <c r="H143" s="6">
        <v>1.4</v>
      </c>
      <c r="I143" s="39">
        <v>1.8199999999999998</v>
      </c>
      <c r="J143" s="35">
        <f t="shared" si="3"/>
        <v>0.30000000000000004</v>
      </c>
    </row>
    <row r="144" spans="1:10" ht="18" customHeight="1" x14ac:dyDescent="0.25">
      <c r="A144" s="20">
        <v>140</v>
      </c>
      <c r="B144" s="38" t="s">
        <v>130</v>
      </c>
      <c r="C144" s="47" t="s">
        <v>263</v>
      </c>
      <c r="D144" s="12" t="s">
        <v>268</v>
      </c>
      <c r="E144" s="59" t="s">
        <v>929</v>
      </c>
      <c r="F144" s="12" t="s">
        <v>114</v>
      </c>
      <c r="G144" s="6">
        <v>10</v>
      </c>
      <c r="H144" s="6">
        <v>1.5</v>
      </c>
      <c r="I144" s="39">
        <v>1.9500000000000002</v>
      </c>
      <c r="J144" s="35">
        <f t="shared" si="3"/>
        <v>0.30000000000000004</v>
      </c>
    </row>
    <row r="145" spans="1:10" ht="18" customHeight="1" x14ac:dyDescent="0.25">
      <c r="A145" s="20">
        <v>141</v>
      </c>
      <c r="B145" s="38" t="s">
        <v>130</v>
      </c>
      <c r="C145" s="47" t="s">
        <v>263</v>
      </c>
      <c r="D145" s="12" t="s">
        <v>268</v>
      </c>
      <c r="E145" s="59" t="s">
        <v>929</v>
      </c>
      <c r="F145" s="12" t="s">
        <v>115</v>
      </c>
      <c r="G145" s="16">
        <v>14.5</v>
      </c>
      <c r="H145" s="6">
        <v>2.2999999999999998</v>
      </c>
      <c r="I145" s="39">
        <v>2.9899999999999998</v>
      </c>
      <c r="J145" s="35">
        <f t="shared" si="3"/>
        <v>0.30000000000000004</v>
      </c>
    </row>
    <row r="146" spans="1:10" ht="18" customHeight="1" x14ac:dyDescent="0.25">
      <c r="A146" s="20">
        <v>142</v>
      </c>
      <c r="B146" s="38" t="s">
        <v>130</v>
      </c>
      <c r="C146" s="47" t="s">
        <v>263</v>
      </c>
      <c r="D146" s="12" t="s">
        <v>268</v>
      </c>
      <c r="E146" s="59" t="s">
        <v>929</v>
      </c>
      <c r="F146" s="12" t="s">
        <v>116</v>
      </c>
      <c r="G146" s="6">
        <v>9</v>
      </c>
      <c r="H146" s="6">
        <v>4.3499999999999996</v>
      </c>
      <c r="I146" s="39">
        <v>5.6549999999999994</v>
      </c>
      <c r="J146" s="35">
        <f t="shared" si="3"/>
        <v>0.30000000000000004</v>
      </c>
    </row>
    <row r="147" spans="1:10" ht="18" customHeight="1" x14ac:dyDescent="0.25">
      <c r="A147" s="20">
        <v>143</v>
      </c>
      <c r="B147" s="38" t="s">
        <v>130</v>
      </c>
      <c r="C147" s="47" t="s">
        <v>263</v>
      </c>
      <c r="D147" s="12" t="s">
        <v>268</v>
      </c>
      <c r="E147" s="59" t="s">
        <v>929</v>
      </c>
      <c r="F147" s="12" t="s">
        <v>117</v>
      </c>
      <c r="G147" s="6">
        <v>8</v>
      </c>
      <c r="H147" s="6">
        <v>6.3</v>
      </c>
      <c r="I147" s="39">
        <v>8.19</v>
      </c>
      <c r="J147" s="35">
        <f t="shared" si="3"/>
        <v>0.30000000000000004</v>
      </c>
    </row>
    <row r="148" spans="1:10" ht="18" customHeight="1" x14ac:dyDescent="0.25">
      <c r="A148" s="20">
        <v>144</v>
      </c>
      <c r="B148" s="38" t="s">
        <v>130</v>
      </c>
      <c r="C148" s="47" t="s">
        <v>263</v>
      </c>
      <c r="D148" s="12" t="s">
        <v>268</v>
      </c>
      <c r="E148" s="59" t="s">
        <v>929</v>
      </c>
      <c r="F148" s="12" t="s">
        <v>118</v>
      </c>
      <c r="G148" s="16">
        <v>14.5</v>
      </c>
      <c r="H148" s="6">
        <v>12</v>
      </c>
      <c r="I148" s="39">
        <v>15.600000000000001</v>
      </c>
      <c r="J148" s="35">
        <f t="shared" si="3"/>
        <v>0.30000000000000004</v>
      </c>
    </row>
    <row r="149" spans="1:10" ht="18" customHeight="1" x14ac:dyDescent="0.25">
      <c r="A149" s="20">
        <v>145</v>
      </c>
      <c r="B149" s="38" t="s">
        <v>130</v>
      </c>
      <c r="C149" s="47" t="s">
        <v>263</v>
      </c>
      <c r="D149" s="12" t="s">
        <v>269</v>
      </c>
      <c r="E149" s="59" t="s">
        <v>929</v>
      </c>
      <c r="F149" s="12" t="s">
        <v>115</v>
      </c>
      <c r="G149" s="6">
        <v>10</v>
      </c>
      <c r="H149" s="6">
        <v>0.6</v>
      </c>
      <c r="I149" s="39">
        <v>0.78</v>
      </c>
      <c r="J149" s="35">
        <f t="shared" si="3"/>
        <v>0.30000000000000004</v>
      </c>
    </row>
    <row r="150" spans="1:10" ht="18" customHeight="1" x14ac:dyDescent="0.25">
      <c r="A150" s="20">
        <v>146</v>
      </c>
      <c r="B150" s="38" t="s">
        <v>130</v>
      </c>
      <c r="C150" s="47" t="s">
        <v>263</v>
      </c>
      <c r="D150" s="12" t="s">
        <v>269</v>
      </c>
      <c r="E150" s="59" t="s">
        <v>929</v>
      </c>
      <c r="F150" s="12" t="s">
        <v>116</v>
      </c>
      <c r="G150" s="16">
        <v>14.5</v>
      </c>
      <c r="H150" s="6">
        <v>1.1000000000000001</v>
      </c>
      <c r="I150" s="39">
        <v>1.4300000000000002</v>
      </c>
      <c r="J150" s="35">
        <f t="shared" si="3"/>
        <v>0.30000000000000004</v>
      </c>
    </row>
    <row r="151" spans="1:10" ht="18" customHeight="1" x14ac:dyDescent="0.25">
      <c r="A151" s="20">
        <v>147</v>
      </c>
      <c r="B151" s="38" t="s">
        <v>130</v>
      </c>
      <c r="C151" s="47" t="s">
        <v>263</v>
      </c>
      <c r="D151" s="12" t="s">
        <v>269</v>
      </c>
      <c r="E151" s="59" t="s">
        <v>929</v>
      </c>
      <c r="F151" s="12" t="s">
        <v>117</v>
      </c>
      <c r="G151" s="6">
        <v>9</v>
      </c>
      <c r="H151" s="6">
        <v>1.75</v>
      </c>
      <c r="I151" s="39">
        <v>2.2749999999999999</v>
      </c>
      <c r="J151" s="35">
        <f t="shared" si="3"/>
        <v>0.30000000000000004</v>
      </c>
    </row>
    <row r="152" spans="1:10" ht="18" customHeight="1" x14ac:dyDescent="0.25">
      <c r="A152" s="20">
        <v>148</v>
      </c>
      <c r="B152" s="38" t="s">
        <v>130</v>
      </c>
      <c r="C152" s="47" t="s">
        <v>263</v>
      </c>
      <c r="D152" s="12" t="s">
        <v>269</v>
      </c>
      <c r="E152" s="59" t="s">
        <v>929</v>
      </c>
      <c r="F152" s="12" t="s">
        <v>118</v>
      </c>
      <c r="G152" s="6">
        <v>8</v>
      </c>
      <c r="H152" s="6">
        <v>2.8</v>
      </c>
      <c r="I152" s="39">
        <v>3.6399999999999997</v>
      </c>
      <c r="J152" s="35">
        <f t="shared" si="3"/>
        <v>0.30000000000000004</v>
      </c>
    </row>
    <row r="153" spans="1:10" ht="18" customHeight="1" x14ac:dyDescent="0.25">
      <c r="A153" s="20">
        <v>149</v>
      </c>
      <c r="B153" s="38" t="s">
        <v>130</v>
      </c>
      <c r="C153" s="47"/>
      <c r="D153" s="12" t="s">
        <v>930</v>
      </c>
      <c r="E153" s="59" t="s">
        <v>929</v>
      </c>
      <c r="F153" s="12" t="s">
        <v>931</v>
      </c>
      <c r="G153" s="16">
        <v>14.5</v>
      </c>
      <c r="H153" s="6">
        <v>1.1636363636363636</v>
      </c>
      <c r="I153" s="39">
        <v>1.5127272727272727</v>
      </c>
      <c r="J153" s="35">
        <f t="shared" si="3"/>
        <v>0.30000000000000004</v>
      </c>
    </row>
    <row r="154" spans="1:10" ht="18" customHeight="1" x14ac:dyDescent="0.25">
      <c r="A154" s="20">
        <v>150</v>
      </c>
      <c r="B154" s="38" t="s">
        <v>130</v>
      </c>
      <c r="C154" s="47"/>
      <c r="D154" s="12" t="s">
        <v>930</v>
      </c>
      <c r="E154" s="59" t="s">
        <v>929</v>
      </c>
      <c r="F154" s="12" t="s">
        <v>932</v>
      </c>
      <c r="G154" s="6">
        <v>10</v>
      </c>
      <c r="H154" s="6">
        <v>1.7272727272727271</v>
      </c>
      <c r="I154" s="39">
        <v>2.2454545454545451</v>
      </c>
      <c r="J154" s="35">
        <f t="shared" si="3"/>
        <v>0.30000000000000004</v>
      </c>
    </row>
    <row r="155" spans="1:10" ht="18" customHeight="1" x14ac:dyDescent="0.25">
      <c r="A155" s="20">
        <v>151</v>
      </c>
      <c r="B155" s="38" t="s">
        <v>130</v>
      </c>
      <c r="C155" s="47"/>
      <c r="D155" s="12" t="s">
        <v>930</v>
      </c>
      <c r="E155" s="59" t="s">
        <v>929</v>
      </c>
      <c r="F155" s="12" t="s">
        <v>933</v>
      </c>
      <c r="G155" s="16">
        <v>14.5</v>
      </c>
      <c r="H155" s="6">
        <v>2.2363636363636363</v>
      </c>
      <c r="I155" s="39">
        <v>2.9072727272727272</v>
      </c>
      <c r="J155" s="35">
        <f t="shared" si="3"/>
        <v>0.30000000000000004</v>
      </c>
    </row>
    <row r="156" spans="1:10" ht="18" customHeight="1" x14ac:dyDescent="0.25">
      <c r="A156" s="20">
        <v>152</v>
      </c>
      <c r="B156" s="38" t="s">
        <v>130</v>
      </c>
      <c r="C156" s="47"/>
      <c r="D156" s="12" t="s">
        <v>930</v>
      </c>
      <c r="E156" s="59" t="s">
        <v>929</v>
      </c>
      <c r="F156" s="12" t="s">
        <v>934</v>
      </c>
      <c r="G156" s="6">
        <v>9</v>
      </c>
      <c r="H156" s="6">
        <v>2.1454545454545451</v>
      </c>
      <c r="I156" s="39">
        <v>2.7890909090909086</v>
      </c>
      <c r="J156" s="35">
        <f t="shared" si="3"/>
        <v>0.30000000000000004</v>
      </c>
    </row>
    <row r="157" spans="1:10" ht="18" customHeight="1" x14ac:dyDescent="0.25">
      <c r="A157" s="20">
        <v>153</v>
      </c>
      <c r="B157" s="38" t="s">
        <v>130</v>
      </c>
      <c r="C157" s="47"/>
      <c r="D157" s="12" t="s">
        <v>930</v>
      </c>
      <c r="E157" s="59" t="s">
        <v>929</v>
      </c>
      <c r="F157" s="12" t="s">
        <v>935</v>
      </c>
      <c r="G157" s="6">
        <v>8</v>
      </c>
      <c r="H157" s="6">
        <v>1.7818181818181817</v>
      </c>
      <c r="I157" s="39">
        <v>2.3163636363636364</v>
      </c>
      <c r="J157" s="35">
        <f t="shared" si="3"/>
        <v>0.30000000000000004</v>
      </c>
    </row>
    <row r="158" spans="1:10" ht="18" customHeight="1" x14ac:dyDescent="0.25">
      <c r="A158" s="20">
        <v>154</v>
      </c>
      <c r="B158" s="38" t="s">
        <v>130</v>
      </c>
      <c r="C158" s="47"/>
      <c r="D158" s="12" t="s">
        <v>930</v>
      </c>
      <c r="E158" s="59" t="s">
        <v>929</v>
      </c>
      <c r="F158" s="12" t="s">
        <v>936</v>
      </c>
      <c r="G158" s="16">
        <v>14.5</v>
      </c>
      <c r="H158" s="6">
        <v>2.6636363636363636</v>
      </c>
      <c r="I158" s="39">
        <v>3.4627272727272729</v>
      </c>
      <c r="J158" s="35">
        <f t="shared" si="3"/>
        <v>0.30000000000000004</v>
      </c>
    </row>
    <row r="159" spans="1:10" ht="18" customHeight="1" x14ac:dyDescent="0.25">
      <c r="A159" s="20">
        <v>155</v>
      </c>
      <c r="B159" s="38" t="s">
        <v>130</v>
      </c>
      <c r="C159" s="47"/>
      <c r="D159" s="12" t="s">
        <v>930</v>
      </c>
      <c r="E159" s="59" t="s">
        <v>929</v>
      </c>
      <c r="F159" s="12" t="s">
        <v>937</v>
      </c>
      <c r="G159" s="6">
        <v>10</v>
      </c>
      <c r="H159" s="6">
        <v>2.8818181818181814</v>
      </c>
      <c r="I159" s="39">
        <v>3.7463636363636361</v>
      </c>
      <c r="J159" s="35">
        <f t="shared" si="3"/>
        <v>0.30000000000000004</v>
      </c>
    </row>
    <row r="160" spans="1:10" ht="18" customHeight="1" x14ac:dyDescent="0.25">
      <c r="A160" s="20">
        <v>156</v>
      </c>
      <c r="B160" s="38" t="s">
        <v>130</v>
      </c>
      <c r="C160" s="47"/>
      <c r="D160" s="12" t="s">
        <v>930</v>
      </c>
      <c r="E160" s="59" t="s">
        <v>929</v>
      </c>
      <c r="F160" s="12" t="s">
        <v>938</v>
      </c>
      <c r="G160" s="16">
        <v>14.5</v>
      </c>
      <c r="H160" s="6">
        <v>4.5545454545454538</v>
      </c>
      <c r="I160" s="39">
        <v>5.92090909090909</v>
      </c>
      <c r="J160" s="35">
        <f t="shared" si="3"/>
        <v>0.30000000000000004</v>
      </c>
    </row>
    <row r="161" spans="1:10" ht="18" customHeight="1" x14ac:dyDescent="0.25">
      <c r="A161" s="20">
        <v>157</v>
      </c>
      <c r="B161" s="38" t="s">
        <v>130</v>
      </c>
      <c r="C161" s="47"/>
      <c r="D161" s="12" t="s">
        <v>930</v>
      </c>
      <c r="E161" s="59" t="s">
        <v>929</v>
      </c>
      <c r="F161" s="12" t="s">
        <v>939</v>
      </c>
      <c r="G161" s="6">
        <v>9</v>
      </c>
      <c r="H161" s="6">
        <v>4.8272727272727263</v>
      </c>
      <c r="I161" s="39">
        <v>6.2754545454545445</v>
      </c>
      <c r="J161" s="35">
        <f t="shared" si="3"/>
        <v>0.30000000000000004</v>
      </c>
    </row>
    <row r="162" spans="1:10" ht="18" customHeight="1" x14ac:dyDescent="0.25">
      <c r="A162" s="20">
        <v>158</v>
      </c>
      <c r="B162" s="38" t="s">
        <v>130</v>
      </c>
      <c r="C162" s="47"/>
      <c r="D162" s="12" t="s">
        <v>930</v>
      </c>
      <c r="E162" s="59" t="s">
        <v>929</v>
      </c>
      <c r="F162" s="12" t="s">
        <v>940</v>
      </c>
      <c r="G162" s="6">
        <v>8</v>
      </c>
      <c r="H162" s="6">
        <v>4.7909090909090901</v>
      </c>
      <c r="I162" s="39">
        <v>6.2281818181818176</v>
      </c>
      <c r="J162" s="35">
        <f t="shared" si="3"/>
        <v>0.30000000000000004</v>
      </c>
    </row>
    <row r="163" spans="1:10" ht="18" customHeight="1" x14ac:dyDescent="0.25">
      <c r="A163" s="20">
        <v>159</v>
      </c>
      <c r="B163" s="38" t="s">
        <v>130</v>
      </c>
      <c r="C163" s="47"/>
      <c r="D163" s="12" t="s">
        <v>930</v>
      </c>
      <c r="E163" s="59" t="s">
        <v>929</v>
      </c>
      <c r="F163" s="12" t="s">
        <v>941</v>
      </c>
      <c r="G163" s="16">
        <v>14.5</v>
      </c>
      <c r="H163" s="6">
        <v>6.6545454545454543</v>
      </c>
      <c r="I163" s="39">
        <v>8.6509090909090904</v>
      </c>
      <c r="J163" s="35">
        <f t="shared" si="3"/>
        <v>0.30000000000000004</v>
      </c>
    </row>
    <row r="164" spans="1:10" ht="18" customHeight="1" x14ac:dyDescent="0.25">
      <c r="A164" s="20">
        <v>160</v>
      </c>
      <c r="B164" s="38" t="s">
        <v>130</v>
      </c>
      <c r="C164" s="47"/>
      <c r="D164" s="12" t="s">
        <v>942</v>
      </c>
      <c r="E164" s="59"/>
      <c r="F164" s="12">
        <v>0.25</v>
      </c>
      <c r="G164" s="6">
        <v>10</v>
      </c>
      <c r="H164" s="6">
        <v>0.25</v>
      </c>
      <c r="I164" s="39">
        <v>0.32500000000000001</v>
      </c>
      <c r="J164" s="35">
        <f t="shared" si="3"/>
        <v>0.30000000000000004</v>
      </c>
    </row>
    <row r="165" spans="1:10" ht="18" customHeight="1" x14ac:dyDescent="0.25">
      <c r="A165" s="20">
        <v>161</v>
      </c>
      <c r="B165" s="38" t="s">
        <v>130</v>
      </c>
      <c r="C165" s="47"/>
      <c r="D165" s="12" t="s">
        <v>942</v>
      </c>
      <c r="E165" s="59"/>
      <c r="F165" s="12">
        <v>0.375</v>
      </c>
      <c r="G165" s="16">
        <v>14.5</v>
      </c>
      <c r="H165" s="6">
        <v>0.3</v>
      </c>
      <c r="I165" s="39">
        <v>0.39</v>
      </c>
      <c r="J165" s="35">
        <f t="shared" si="3"/>
        <v>0.30000000000000004</v>
      </c>
    </row>
    <row r="166" spans="1:10" ht="18" customHeight="1" x14ac:dyDescent="0.25">
      <c r="A166" s="20">
        <v>162</v>
      </c>
      <c r="B166" s="38" t="s">
        <v>130</v>
      </c>
      <c r="C166" s="47"/>
      <c r="D166" s="12" t="s">
        <v>942</v>
      </c>
      <c r="E166" s="59"/>
      <c r="F166" s="12">
        <v>0.5</v>
      </c>
      <c r="G166" s="6">
        <v>9</v>
      </c>
      <c r="H166" s="6">
        <v>0.6</v>
      </c>
      <c r="I166" s="39">
        <v>0.78</v>
      </c>
      <c r="J166" s="35">
        <f t="shared" si="3"/>
        <v>0.30000000000000004</v>
      </c>
    </row>
    <row r="167" spans="1:10" ht="18" customHeight="1" x14ac:dyDescent="0.25">
      <c r="A167" s="20">
        <v>163</v>
      </c>
      <c r="B167" s="38" t="s">
        <v>130</v>
      </c>
      <c r="C167" s="47"/>
      <c r="D167" s="12" t="s">
        <v>942</v>
      </c>
      <c r="E167" s="59"/>
      <c r="F167" s="12">
        <v>0.625</v>
      </c>
      <c r="G167" s="6">
        <v>8</v>
      </c>
      <c r="H167" s="6">
        <v>0.75</v>
      </c>
      <c r="I167" s="39">
        <v>0.97500000000000009</v>
      </c>
      <c r="J167" s="35">
        <f t="shared" si="3"/>
        <v>0.30000000000000004</v>
      </c>
    </row>
    <row r="168" spans="1:10" ht="18" customHeight="1" x14ac:dyDescent="0.25">
      <c r="A168" s="20">
        <v>164</v>
      </c>
      <c r="B168" s="38" t="s">
        <v>130</v>
      </c>
      <c r="C168" s="47"/>
      <c r="D168" s="12" t="s">
        <v>942</v>
      </c>
      <c r="E168" s="59"/>
      <c r="F168" s="12">
        <v>0.75</v>
      </c>
      <c r="G168" s="16">
        <v>14.5</v>
      </c>
      <c r="H168" s="6">
        <v>1.2</v>
      </c>
      <c r="I168" s="39">
        <v>1.56</v>
      </c>
      <c r="J168" s="35">
        <f t="shared" si="3"/>
        <v>0.30000000000000004</v>
      </c>
    </row>
    <row r="169" spans="1:10" ht="18" customHeight="1" x14ac:dyDescent="0.25">
      <c r="A169" s="20">
        <v>165</v>
      </c>
      <c r="B169" s="38" t="s">
        <v>130</v>
      </c>
      <c r="C169" s="47"/>
      <c r="D169" s="12" t="s">
        <v>943</v>
      </c>
      <c r="E169" s="59"/>
      <c r="F169" s="12" t="s">
        <v>944</v>
      </c>
      <c r="G169" s="6">
        <v>10</v>
      </c>
      <c r="H169" s="6">
        <v>3</v>
      </c>
      <c r="I169" s="39">
        <v>3.3</v>
      </c>
      <c r="J169" s="35">
        <f t="shared" si="3"/>
        <v>9.9999999999999867E-2</v>
      </c>
    </row>
    <row r="170" spans="1:10" ht="18" customHeight="1" x14ac:dyDescent="0.25">
      <c r="A170" s="20">
        <v>166</v>
      </c>
      <c r="B170" s="38" t="s">
        <v>130</v>
      </c>
      <c r="C170" s="47" t="s">
        <v>270</v>
      </c>
      <c r="D170" s="12" t="s">
        <v>128</v>
      </c>
      <c r="E170" s="59"/>
      <c r="F170" s="12" t="s">
        <v>129</v>
      </c>
      <c r="G170" s="16">
        <v>14.5</v>
      </c>
      <c r="H170" s="6">
        <v>11</v>
      </c>
      <c r="I170" s="39">
        <v>13</v>
      </c>
      <c r="J170" s="35">
        <f t="shared" si="3"/>
        <v>0.18181818181818188</v>
      </c>
    </row>
    <row r="171" spans="1:10" ht="18" customHeight="1" x14ac:dyDescent="0.25">
      <c r="A171" s="20">
        <v>167</v>
      </c>
      <c r="B171" s="38" t="s">
        <v>130</v>
      </c>
      <c r="C171" s="47" t="s">
        <v>270</v>
      </c>
      <c r="D171" s="12" t="s">
        <v>131</v>
      </c>
      <c r="E171" s="59"/>
      <c r="F171" s="12" t="s">
        <v>132</v>
      </c>
      <c r="G171" s="6">
        <v>9</v>
      </c>
      <c r="H171" s="6">
        <v>11</v>
      </c>
      <c r="I171" s="39">
        <v>13</v>
      </c>
      <c r="J171" s="35">
        <f t="shared" si="3"/>
        <v>0.18181818181818188</v>
      </c>
    </row>
    <row r="172" spans="1:10" ht="18" customHeight="1" x14ac:dyDescent="0.25">
      <c r="A172" s="20">
        <v>168</v>
      </c>
      <c r="B172" s="38" t="s">
        <v>130</v>
      </c>
      <c r="C172" s="47" t="s">
        <v>270</v>
      </c>
      <c r="D172" s="12" t="s">
        <v>133</v>
      </c>
      <c r="E172" s="59"/>
      <c r="F172" s="12" t="s">
        <v>134</v>
      </c>
      <c r="G172" s="6">
        <v>8</v>
      </c>
      <c r="H172" s="6">
        <v>11</v>
      </c>
      <c r="I172" s="39">
        <v>13</v>
      </c>
      <c r="J172" s="35">
        <f t="shared" si="3"/>
        <v>0.18181818181818188</v>
      </c>
    </row>
    <row r="173" spans="1:10" ht="18" customHeight="1" x14ac:dyDescent="0.25">
      <c r="A173" s="20">
        <v>169</v>
      </c>
      <c r="B173" s="38" t="s">
        <v>130</v>
      </c>
      <c r="C173" s="47" t="s">
        <v>270</v>
      </c>
      <c r="D173" s="12" t="s">
        <v>133</v>
      </c>
      <c r="E173" s="59"/>
      <c r="F173" s="12" t="s">
        <v>135</v>
      </c>
      <c r="G173" s="16">
        <v>14.5</v>
      </c>
      <c r="H173" s="6">
        <v>11</v>
      </c>
      <c r="I173" s="39">
        <v>13</v>
      </c>
      <c r="J173" s="35">
        <f t="shared" si="3"/>
        <v>0.18181818181818188</v>
      </c>
    </row>
    <row r="174" spans="1:10" ht="18" customHeight="1" x14ac:dyDescent="0.25">
      <c r="A174" s="20">
        <v>170</v>
      </c>
      <c r="B174" s="38" t="s">
        <v>130</v>
      </c>
      <c r="C174" s="47" t="s">
        <v>270</v>
      </c>
      <c r="D174" s="12" t="s">
        <v>136</v>
      </c>
      <c r="E174" s="59"/>
      <c r="F174" s="12" t="s">
        <v>137</v>
      </c>
      <c r="G174" s="6">
        <v>10</v>
      </c>
      <c r="H174" s="6">
        <v>11</v>
      </c>
      <c r="I174" s="39">
        <v>13</v>
      </c>
      <c r="J174" s="35">
        <f t="shared" si="3"/>
        <v>0.18181818181818188</v>
      </c>
    </row>
    <row r="175" spans="1:10" ht="18" customHeight="1" x14ac:dyDescent="0.25">
      <c r="A175" s="20">
        <v>171</v>
      </c>
      <c r="B175" s="38" t="s">
        <v>130</v>
      </c>
      <c r="C175" s="47" t="s">
        <v>270</v>
      </c>
      <c r="D175" s="12" t="s">
        <v>945</v>
      </c>
      <c r="E175" s="59"/>
      <c r="F175" s="12"/>
      <c r="G175" s="16">
        <v>14.5</v>
      </c>
      <c r="H175" s="6">
        <v>8</v>
      </c>
      <c r="I175" s="39">
        <v>8.5</v>
      </c>
      <c r="J175" s="35">
        <f t="shared" si="3"/>
        <v>6.25E-2</v>
      </c>
    </row>
    <row r="176" spans="1:10" ht="18" customHeight="1" x14ac:dyDescent="0.25">
      <c r="A176" s="20">
        <v>172</v>
      </c>
      <c r="B176" s="38" t="s">
        <v>130</v>
      </c>
      <c r="C176" s="47" t="s">
        <v>271</v>
      </c>
      <c r="D176" s="12" t="s">
        <v>125</v>
      </c>
      <c r="E176" s="59" t="s">
        <v>946</v>
      </c>
      <c r="F176" s="12" t="s">
        <v>138</v>
      </c>
      <c r="G176" s="6">
        <v>9</v>
      </c>
      <c r="H176" s="6">
        <v>16</v>
      </c>
      <c r="I176" s="39">
        <v>20</v>
      </c>
      <c r="J176" s="35">
        <f t="shared" si="3"/>
        <v>0.25</v>
      </c>
    </row>
    <row r="177" spans="1:10" ht="18" customHeight="1" x14ac:dyDescent="0.25">
      <c r="A177" s="20">
        <v>173</v>
      </c>
      <c r="B177" s="38" t="s">
        <v>130</v>
      </c>
      <c r="C177" s="47" t="s">
        <v>271</v>
      </c>
      <c r="D177" s="12" t="s">
        <v>125</v>
      </c>
      <c r="E177" s="59" t="s">
        <v>946</v>
      </c>
      <c r="F177" s="12" t="s">
        <v>126</v>
      </c>
      <c r="G177" s="6">
        <v>8</v>
      </c>
      <c r="H177" s="6">
        <v>16</v>
      </c>
      <c r="I177" s="39">
        <v>20</v>
      </c>
      <c r="J177" s="35">
        <f t="shared" si="3"/>
        <v>0.25</v>
      </c>
    </row>
    <row r="178" spans="1:10" ht="18" customHeight="1" x14ac:dyDescent="0.25">
      <c r="A178" s="20">
        <v>174</v>
      </c>
      <c r="B178" s="38" t="s">
        <v>130</v>
      </c>
      <c r="C178" s="47" t="s">
        <v>271</v>
      </c>
      <c r="D178" s="12" t="s">
        <v>125</v>
      </c>
      <c r="E178" s="59" t="s">
        <v>946</v>
      </c>
      <c r="F178" s="12" t="s">
        <v>272</v>
      </c>
      <c r="G178" s="16">
        <v>14.5</v>
      </c>
      <c r="H178" s="6">
        <v>16</v>
      </c>
      <c r="I178" s="39">
        <v>20</v>
      </c>
      <c r="J178" s="35">
        <f t="shared" si="3"/>
        <v>0.25</v>
      </c>
    </row>
    <row r="179" spans="1:10" ht="18" customHeight="1" x14ac:dyDescent="0.25">
      <c r="A179" s="20">
        <v>175</v>
      </c>
      <c r="B179" s="38" t="s">
        <v>130</v>
      </c>
      <c r="C179" s="47"/>
      <c r="D179" s="12" t="s">
        <v>947</v>
      </c>
      <c r="E179" s="59" t="s">
        <v>948</v>
      </c>
      <c r="F179" s="12" t="s">
        <v>949</v>
      </c>
      <c r="G179" s="6">
        <v>10</v>
      </c>
      <c r="H179" s="6">
        <v>4</v>
      </c>
      <c r="I179" s="39">
        <v>4.5</v>
      </c>
      <c r="J179" s="35">
        <f t="shared" si="3"/>
        <v>0.125</v>
      </c>
    </row>
    <row r="180" spans="1:10" ht="18" customHeight="1" x14ac:dyDescent="0.25">
      <c r="A180" s="20">
        <v>176</v>
      </c>
      <c r="B180" s="38" t="s">
        <v>130</v>
      </c>
      <c r="C180" s="47" t="s">
        <v>273</v>
      </c>
      <c r="D180" s="12" t="s">
        <v>139</v>
      </c>
      <c r="E180" s="59"/>
      <c r="F180" s="12" t="s">
        <v>140</v>
      </c>
      <c r="G180" s="16">
        <v>14.5</v>
      </c>
      <c r="H180" s="6">
        <v>3</v>
      </c>
      <c r="I180" s="39">
        <v>8</v>
      </c>
      <c r="J180" s="35">
        <f t="shared" si="3"/>
        <v>1.6666666666666665</v>
      </c>
    </row>
    <row r="181" spans="1:10" ht="18" customHeight="1" x14ac:dyDescent="0.25">
      <c r="A181" s="20">
        <v>177</v>
      </c>
      <c r="B181" s="38" t="s">
        <v>130</v>
      </c>
      <c r="C181" s="47" t="s">
        <v>273</v>
      </c>
      <c r="D181" s="12" t="s">
        <v>365</v>
      </c>
      <c r="E181" s="59"/>
      <c r="F181" s="12" t="s">
        <v>141</v>
      </c>
      <c r="G181" s="6">
        <v>9</v>
      </c>
      <c r="H181" s="6">
        <v>8</v>
      </c>
      <c r="I181" s="39">
        <v>13</v>
      </c>
      <c r="J181" s="35">
        <f t="shared" si="3"/>
        <v>0.625</v>
      </c>
    </row>
    <row r="182" spans="1:10" ht="18" customHeight="1" x14ac:dyDescent="0.25">
      <c r="A182" s="20">
        <v>178</v>
      </c>
      <c r="B182" s="38" t="s">
        <v>130</v>
      </c>
      <c r="C182" s="47" t="s">
        <v>273</v>
      </c>
      <c r="D182" s="12" t="s">
        <v>142</v>
      </c>
      <c r="E182" s="59"/>
      <c r="F182" s="12" t="s">
        <v>143</v>
      </c>
      <c r="G182" s="6">
        <v>8</v>
      </c>
      <c r="H182" s="6">
        <v>0.75</v>
      </c>
      <c r="I182" s="39">
        <v>0.82500000000000007</v>
      </c>
      <c r="J182" s="35">
        <f t="shared" si="3"/>
        <v>0.10000000000000009</v>
      </c>
    </row>
    <row r="183" spans="1:10" ht="18" customHeight="1" x14ac:dyDescent="0.25">
      <c r="A183" s="20">
        <v>179</v>
      </c>
      <c r="B183" s="38" t="s">
        <v>130</v>
      </c>
      <c r="C183" s="47" t="s">
        <v>273</v>
      </c>
      <c r="D183" s="12" t="s">
        <v>144</v>
      </c>
      <c r="E183" s="59"/>
      <c r="F183" s="12" t="s">
        <v>145</v>
      </c>
      <c r="G183" s="16">
        <v>14.5</v>
      </c>
      <c r="H183" s="6">
        <v>5</v>
      </c>
      <c r="I183" s="39">
        <v>5.5</v>
      </c>
      <c r="J183" s="35">
        <f t="shared" si="3"/>
        <v>0.10000000000000009</v>
      </c>
    </row>
    <row r="184" spans="1:10" ht="18" customHeight="1" x14ac:dyDescent="0.25">
      <c r="A184" s="20">
        <v>180</v>
      </c>
      <c r="B184" s="38" t="s">
        <v>130</v>
      </c>
      <c r="C184" s="47" t="s">
        <v>273</v>
      </c>
      <c r="D184" s="12" t="s">
        <v>146</v>
      </c>
      <c r="E184" s="59"/>
      <c r="F184" s="12"/>
      <c r="G184" s="6">
        <v>10</v>
      </c>
      <c r="H184" s="6">
        <v>1</v>
      </c>
      <c r="I184" s="39">
        <v>1.1000000000000001</v>
      </c>
      <c r="J184" s="35">
        <f t="shared" si="3"/>
        <v>0.10000000000000009</v>
      </c>
    </row>
    <row r="185" spans="1:10" ht="18" customHeight="1" x14ac:dyDescent="0.25">
      <c r="A185" s="20">
        <v>181</v>
      </c>
      <c r="B185" s="38" t="s">
        <v>130</v>
      </c>
      <c r="C185" s="47" t="s">
        <v>273</v>
      </c>
      <c r="D185" s="12" t="s">
        <v>147</v>
      </c>
      <c r="E185" s="59"/>
      <c r="F185" s="12" t="s">
        <v>148</v>
      </c>
      <c r="G185" s="16">
        <v>14.5</v>
      </c>
      <c r="H185" s="6">
        <v>1.5</v>
      </c>
      <c r="I185" s="39">
        <v>1.6500000000000001</v>
      </c>
      <c r="J185" s="35">
        <f t="shared" si="3"/>
        <v>0.10000000000000009</v>
      </c>
    </row>
    <row r="186" spans="1:10" ht="18" customHeight="1" x14ac:dyDescent="0.25">
      <c r="A186" s="20">
        <v>182</v>
      </c>
      <c r="B186" s="38" t="s">
        <v>130</v>
      </c>
      <c r="C186" s="47" t="s">
        <v>273</v>
      </c>
      <c r="D186" s="12" t="s">
        <v>149</v>
      </c>
      <c r="E186" s="59"/>
      <c r="F186" s="12" t="s">
        <v>148</v>
      </c>
      <c r="G186" s="6">
        <v>9</v>
      </c>
      <c r="H186" s="6">
        <v>0.3</v>
      </c>
      <c r="I186" s="39">
        <v>0.33</v>
      </c>
      <c r="J186" s="35">
        <f t="shared" si="3"/>
        <v>0.10000000000000009</v>
      </c>
    </row>
    <row r="187" spans="1:10" ht="18" customHeight="1" x14ac:dyDescent="0.25">
      <c r="A187" s="20">
        <v>183</v>
      </c>
      <c r="B187" s="38" t="s">
        <v>130</v>
      </c>
      <c r="C187" s="47"/>
      <c r="D187" s="12" t="s">
        <v>2119</v>
      </c>
      <c r="E187" s="59"/>
      <c r="F187" s="12"/>
      <c r="G187" s="6">
        <v>8</v>
      </c>
      <c r="H187" s="6">
        <v>18</v>
      </c>
      <c r="I187" s="39">
        <v>19.8</v>
      </c>
      <c r="J187" s="35">
        <f t="shared" si="3"/>
        <v>0.10000000000000009</v>
      </c>
    </row>
    <row r="188" spans="1:10" ht="18" customHeight="1" x14ac:dyDescent="0.25">
      <c r="A188" s="20">
        <v>184</v>
      </c>
      <c r="B188" s="38" t="s">
        <v>275</v>
      </c>
      <c r="C188" s="47"/>
      <c r="D188" s="12" t="s">
        <v>2117</v>
      </c>
      <c r="E188" s="59"/>
      <c r="F188" s="12" t="s">
        <v>2122</v>
      </c>
      <c r="G188" s="16">
        <v>14.5</v>
      </c>
      <c r="H188" s="6"/>
      <c r="I188" s="39">
        <v>25</v>
      </c>
      <c r="J188" s="35" t="e">
        <f t="shared" si="3"/>
        <v>#DIV/0!</v>
      </c>
    </row>
    <row r="189" spans="1:10" ht="18" customHeight="1" x14ac:dyDescent="0.25">
      <c r="A189" s="20">
        <v>185</v>
      </c>
      <c r="B189" s="38" t="s">
        <v>130</v>
      </c>
      <c r="C189" s="47"/>
      <c r="D189" s="12" t="s">
        <v>950</v>
      </c>
      <c r="E189" s="59"/>
      <c r="F189" s="12"/>
      <c r="G189" s="6">
        <v>10</v>
      </c>
      <c r="H189" s="6"/>
      <c r="I189" s="39">
        <v>0</v>
      </c>
      <c r="J189" s="35" t="e">
        <f t="shared" si="3"/>
        <v>#DIV/0!</v>
      </c>
    </row>
    <row r="190" spans="1:10" ht="18" customHeight="1" x14ac:dyDescent="0.25">
      <c r="A190" s="20">
        <v>186</v>
      </c>
      <c r="B190" s="38" t="s">
        <v>275</v>
      </c>
      <c r="C190" s="47"/>
      <c r="D190" s="12" t="s">
        <v>2115</v>
      </c>
      <c r="E190" s="59"/>
      <c r="F190" s="12"/>
      <c r="G190" s="16">
        <v>14.5</v>
      </c>
      <c r="H190" s="6"/>
      <c r="I190" s="39">
        <v>5</v>
      </c>
      <c r="J190" s="35" t="e">
        <f t="shared" si="3"/>
        <v>#DIV/0!</v>
      </c>
    </row>
    <row r="191" spans="1:10" ht="18" customHeight="1" x14ac:dyDescent="0.25">
      <c r="A191" s="20">
        <v>187</v>
      </c>
      <c r="B191" s="38" t="s">
        <v>130</v>
      </c>
      <c r="C191" s="47"/>
      <c r="D191" s="12" t="s">
        <v>951</v>
      </c>
      <c r="E191" s="59"/>
      <c r="F191" s="12"/>
      <c r="G191" s="6">
        <v>9</v>
      </c>
      <c r="H191" s="6">
        <v>7</v>
      </c>
      <c r="I191" s="39">
        <v>10</v>
      </c>
      <c r="J191" s="35">
        <f t="shared" si="3"/>
        <v>0.4285714285714286</v>
      </c>
    </row>
    <row r="192" spans="1:10" ht="18" customHeight="1" x14ac:dyDescent="0.25">
      <c r="A192" s="20">
        <v>188</v>
      </c>
      <c r="B192" s="38" t="s">
        <v>130</v>
      </c>
      <c r="C192" s="47"/>
      <c r="D192" s="12" t="s">
        <v>952</v>
      </c>
      <c r="E192" s="59"/>
      <c r="F192" s="12"/>
      <c r="G192" s="6">
        <v>8</v>
      </c>
      <c r="H192" s="6">
        <v>9</v>
      </c>
      <c r="I192" s="39">
        <v>11</v>
      </c>
      <c r="J192" s="35">
        <f t="shared" si="3"/>
        <v>0.22222222222222232</v>
      </c>
    </row>
    <row r="193" spans="1:10" ht="18" customHeight="1" x14ac:dyDescent="0.25">
      <c r="A193" s="20">
        <v>189</v>
      </c>
      <c r="B193" s="38" t="s">
        <v>130</v>
      </c>
      <c r="C193" s="47"/>
      <c r="D193" s="12" t="s">
        <v>953</v>
      </c>
      <c r="E193" s="59"/>
      <c r="F193" s="12"/>
      <c r="G193" s="16">
        <v>14.5</v>
      </c>
      <c r="H193" s="6">
        <v>7</v>
      </c>
      <c r="I193" s="39">
        <v>10</v>
      </c>
      <c r="J193" s="35">
        <f t="shared" si="3"/>
        <v>0.4285714285714286</v>
      </c>
    </row>
    <row r="194" spans="1:10" ht="18" customHeight="1" x14ac:dyDescent="0.25">
      <c r="A194" s="20">
        <v>190</v>
      </c>
      <c r="B194" s="38" t="s">
        <v>130</v>
      </c>
      <c r="C194" s="47"/>
      <c r="D194" s="12" t="s">
        <v>954</v>
      </c>
      <c r="E194" s="59"/>
      <c r="F194" s="12"/>
      <c r="G194" s="6">
        <v>10</v>
      </c>
      <c r="H194" s="6">
        <v>9</v>
      </c>
      <c r="I194" s="39">
        <v>11</v>
      </c>
      <c r="J194" s="35">
        <f t="shared" si="3"/>
        <v>0.22222222222222232</v>
      </c>
    </row>
    <row r="195" spans="1:10" ht="18" customHeight="1" x14ac:dyDescent="0.25">
      <c r="A195" s="20">
        <v>191</v>
      </c>
      <c r="B195" s="38" t="s">
        <v>130</v>
      </c>
      <c r="C195" s="47"/>
      <c r="D195" s="12" t="s">
        <v>955</v>
      </c>
      <c r="E195" s="59"/>
      <c r="F195" s="12"/>
      <c r="G195" s="16">
        <v>14.5</v>
      </c>
      <c r="H195" s="6"/>
      <c r="I195" s="39">
        <v>0</v>
      </c>
      <c r="J195" s="35" t="e">
        <f t="shared" si="3"/>
        <v>#DIV/0!</v>
      </c>
    </row>
    <row r="196" spans="1:10" ht="18" customHeight="1" x14ac:dyDescent="0.25">
      <c r="A196" s="20">
        <v>192</v>
      </c>
      <c r="B196" s="38" t="s">
        <v>130</v>
      </c>
      <c r="C196" s="47"/>
      <c r="D196" s="12" t="s">
        <v>956</v>
      </c>
      <c r="E196" s="59"/>
      <c r="F196" s="12"/>
      <c r="G196" s="6">
        <v>9</v>
      </c>
      <c r="H196" s="6"/>
      <c r="I196" s="39">
        <v>0</v>
      </c>
      <c r="J196" s="35" t="e">
        <f t="shared" si="3"/>
        <v>#DIV/0!</v>
      </c>
    </row>
    <row r="197" spans="1:10" ht="18" customHeight="1" x14ac:dyDescent="0.25">
      <c r="A197" s="20">
        <v>193</v>
      </c>
      <c r="B197" s="38" t="s">
        <v>130</v>
      </c>
      <c r="C197" s="47"/>
      <c r="D197" s="12" t="s">
        <v>957</v>
      </c>
      <c r="E197" s="59"/>
      <c r="F197" s="12"/>
      <c r="G197" s="6">
        <v>8</v>
      </c>
      <c r="H197" s="6"/>
      <c r="I197" s="39">
        <v>0</v>
      </c>
      <c r="J197" s="35" t="e">
        <f t="shared" si="3"/>
        <v>#DIV/0!</v>
      </c>
    </row>
    <row r="198" spans="1:10" ht="18" customHeight="1" x14ac:dyDescent="0.25">
      <c r="A198" s="20">
        <v>194</v>
      </c>
      <c r="B198" s="38" t="s">
        <v>130</v>
      </c>
      <c r="C198" s="47"/>
      <c r="D198" s="12" t="s">
        <v>958</v>
      </c>
      <c r="E198" s="59"/>
      <c r="F198" s="12"/>
      <c r="G198" s="16">
        <v>14.5</v>
      </c>
      <c r="H198" s="6"/>
      <c r="I198" s="39">
        <v>0</v>
      </c>
      <c r="J198" s="35" t="e">
        <f t="shared" si="3"/>
        <v>#DIV/0!</v>
      </c>
    </row>
    <row r="199" spans="1:10" ht="18" customHeight="1" x14ac:dyDescent="0.25">
      <c r="A199" s="20">
        <v>195</v>
      </c>
      <c r="B199" s="38" t="s">
        <v>130</v>
      </c>
      <c r="C199" s="47"/>
      <c r="D199" s="12" t="s">
        <v>959</v>
      </c>
      <c r="E199" s="59"/>
      <c r="F199" s="12"/>
      <c r="G199" s="6">
        <v>10</v>
      </c>
      <c r="H199" s="6"/>
      <c r="I199" s="39">
        <v>0</v>
      </c>
      <c r="J199" s="35" t="e">
        <f t="shared" si="3"/>
        <v>#DIV/0!</v>
      </c>
    </row>
    <row r="200" spans="1:10" ht="18" customHeight="1" x14ac:dyDescent="0.25">
      <c r="A200" s="20">
        <v>196</v>
      </c>
      <c r="B200" s="38" t="s">
        <v>130</v>
      </c>
      <c r="C200" s="47"/>
      <c r="D200" s="12" t="s">
        <v>960</v>
      </c>
      <c r="E200" s="59"/>
      <c r="F200" s="12"/>
      <c r="G200" s="16">
        <v>14.5</v>
      </c>
      <c r="H200" s="6"/>
      <c r="I200" s="39">
        <v>0</v>
      </c>
      <c r="J200" s="35" t="e">
        <f t="shared" si="3"/>
        <v>#DIV/0!</v>
      </c>
    </row>
    <row r="201" spans="1:10" ht="18" customHeight="1" x14ac:dyDescent="0.25">
      <c r="A201" s="20">
        <v>197</v>
      </c>
      <c r="B201" s="38" t="s">
        <v>130</v>
      </c>
      <c r="C201" s="47"/>
      <c r="D201" s="12" t="s">
        <v>961</v>
      </c>
      <c r="E201" s="59"/>
      <c r="F201" s="12"/>
      <c r="G201" s="6">
        <v>9</v>
      </c>
      <c r="H201" s="6"/>
      <c r="I201" s="39">
        <v>0</v>
      </c>
      <c r="J201" s="35" t="e">
        <f t="shared" si="3"/>
        <v>#DIV/0!</v>
      </c>
    </row>
    <row r="202" spans="1:10" ht="18" customHeight="1" x14ac:dyDescent="0.25">
      <c r="A202" s="20">
        <v>198</v>
      </c>
      <c r="B202" s="38" t="s">
        <v>130</v>
      </c>
      <c r="C202" s="47"/>
      <c r="D202" s="12" t="s">
        <v>962</v>
      </c>
      <c r="E202" s="59"/>
      <c r="F202" s="12"/>
      <c r="G202" s="6">
        <v>8</v>
      </c>
      <c r="H202" s="6"/>
      <c r="I202" s="39">
        <v>0</v>
      </c>
      <c r="J202" s="35" t="e">
        <f t="shared" si="3"/>
        <v>#DIV/0!</v>
      </c>
    </row>
    <row r="203" spans="1:10" ht="18" customHeight="1" x14ac:dyDescent="0.25">
      <c r="A203" s="20">
        <v>199</v>
      </c>
      <c r="B203" s="38" t="s">
        <v>275</v>
      </c>
      <c r="C203" s="47"/>
      <c r="D203" s="12" t="s">
        <v>1119</v>
      </c>
      <c r="E203" s="59"/>
      <c r="F203" s="25" t="s">
        <v>1120</v>
      </c>
      <c r="G203" s="16">
        <v>14.5</v>
      </c>
      <c r="H203" s="6">
        <v>12.5</v>
      </c>
      <c r="I203" s="39">
        <v>15</v>
      </c>
      <c r="J203" s="35">
        <f t="shared" ref="J203:J256" si="4">I203/H203-1</f>
        <v>0.19999999999999996</v>
      </c>
    </row>
    <row r="204" spans="1:10" ht="18" customHeight="1" x14ac:dyDescent="0.25">
      <c r="A204" s="20">
        <v>200</v>
      </c>
      <c r="B204" s="38" t="s">
        <v>275</v>
      </c>
      <c r="C204" s="47"/>
      <c r="D204" s="12" t="s">
        <v>1118</v>
      </c>
      <c r="E204" s="59"/>
      <c r="F204" s="12"/>
      <c r="G204" s="6">
        <v>10</v>
      </c>
      <c r="H204" s="6">
        <v>12.5</v>
      </c>
      <c r="I204" s="39">
        <v>15</v>
      </c>
      <c r="J204" s="35">
        <f t="shared" si="4"/>
        <v>0.19999999999999996</v>
      </c>
    </row>
    <row r="205" spans="1:10" ht="18" customHeight="1" x14ac:dyDescent="0.25">
      <c r="A205" s="20">
        <v>201</v>
      </c>
      <c r="B205" s="38" t="s">
        <v>130</v>
      </c>
      <c r="C205" s="47"/>
      <c r="D205" s="12" t="s">
        <v>963</v>
      </c>
      <c r="E205" s="59"/>
      <c r="F205" s="12" t="s">
        <v>964</v>
      </c>
      <c r="G205" s="16">
        <v>14.5</v>
      </c>
      <c r="H205" s="6">
        <v>0.9</v>
      </c>
      <c r="I205" s="39">
        <v>0.96800000000000008</v>
      </c>
      <c r="J205" s="35">
        <f t="shared" si="4"/>
        <v>7.5555555555555598E-2</v>
      </c>
    </row>
    <row r="206" spans="1:10" ht="18" customHeight="1" x14ac:dyDescent="0.25">
      <c r="A206" s="20">
        <v>202</v>
      </c>
      <c r="B206" s="38" t="s">
        <v>130</v>
      </c>
      <c r="C206" s="47"/>
      <c r="D206" s="12" t="s">
        <v>963</v>
      </c>
      <c r="E206" s="59"/>
      <c r="F206" s="12" t="s">
        <v>965</v>
      </c>
      <c r="G206" s="6">
        <v>9</v>
      </c>
      <c r="H206" s="6">
        <v>1.58</v>
      </c>
      <c r="I206" s="39">
        <v>1.639</v>
      </c>
      <c r="J206" s="35">
        <f t="shared" si="4"/>
        <v>3.7341772151898711E-2</v>
      </c>
    </row>
    <row r="207" spans="1:10" ht="18" customHeight="1" x14ac:dyDescent="0.25">
      <c r="A207" s="20">
        <v>203</v>
      </c>
      <c r="B207" s="38" t="s">
        <v>130</v>
      </c>
      <c r="C207" s="47"/>
      <c r="D207" s="12" t="s">
        <v>963</v>
      </c>
      <c r="E207" s="59"/>
      <c r="F207" s="12" t="s">
        <v>966</v>
      </c>
      <c r="G207" s="6">
        <v>8</v>
      </c>
      <c r="H207" s="6">
        <v>2.4500000000000002</v>
      </c>
      <c r="I207" s="39">
        <v>2.6290000000000004</v>
      </c>
      <c r="J207" s="35">
        <f t="shared" si="4"/>
        <v>7.3061224489796128E-2</v>
      </c>
    </row>
    <row r="208" spans="1:10" ht="18" customHeight="1" x14ac:dyDescent="0.25">
      <c r="A208" s="20">
        <v>204</v>
      </c>
      <c r="B208" s="38" t="s">
        <v>130</v>
      </c>
      <c r="C208" s="47"/>
      <c r="D208" s="12" t="s">
        <v>963</v>
      </c>
      <c r="E208" s="59"/>
      <c r="F208" s="12" t="s">
        <v>967</v>
      </c>
      <c r="G208" s="16">
        <v>14.5</v>
      </c>
      <c r="H208" s="6">
        <v>3.89</v>
      </c>
      <c r="I208" s="39">
        <v>4.1030000000000006</v>
      </c>
      <c r="J208" s="35">
        <f t="shared" si="4"/>
        <v>5.4755784061696788E-2</v>
      </c>
    </row>
    <row r="209" spans="1:10" ht="18" customHeight="1" x14ac:dyDescent="0.25">
      <c r="A209" s="20">
        <v>205</v>
      </c>
      <c r="B209" s="38" t="s">
        <v>275</v>
      </c>
      <c r="C209" s="47"/>
      <c r="D209" s="12" t="s">
        <v>968</v>
      </c>
      <c r="E209" s="59"/>
      <c r="F209" s="12" t="s">
        <v>45</v>
      </c>
      <c r="G209" s="6">
        <v>10</v>
      </c>
      <c r="H209" s="6">
        <v>10.199999999999999</v>
      </c>
      <c r="I209" s="39">
        <v>18.148000000000003</v>
      </c>
      <c r="J209" s="35">
        <f t="shared" si="4"/>
        <v>0.77921568627451032</v>
      </c>
    </row>
    <row r="210" spans="1:10" ht="18" customHeight="1" x14ac:dyDescent="0.25">
      <c r="A210" s="20">
        <v>206</v>
      </c>
      <c r="B210" s="38" t="s">
        <v>130</v>
      </c>
      <c r="C210" s="47"/>
      <c r="D210" s="12" t="s">
        <v>969</v>
      </c>
      <c r="E210" s="59"/>
      <c r="F210" s="12" t="s">
        <v>970</v>
      </c>
      <c r="G210" s="16">
        <v>14.5</v>
      </c>
      <c r="H210" s="6">
        <v>9.7200000000000006</v>
      </c>
      <c r="I210" s="39">
        <v>9.7200000000000006</v>
      </c>
      <c r="J210" s="35">
        <f t="shared" si="4"/>
        <v>0</v>
      </c>
    </row>
    <row r="211" spans="1:10" ht="18" customHeight="1" x14ac:dyDescent="0.25">
      <c r="A211" s="20">
        <v>207</v>
      </c>
      <c r="B211" s="38" t="s">
        <v>130</v>
      </c>
      <c r="C211" s="47"/>
      <c r="D211" s="12" t="s">
        <v>969</v>
      </c>
      <c r="E211" s="59"/>
      <c r="F211" s="12" t="s">
        <v>971</v>
      </c>
      <c r="G211" s="6">
        <v>9</v>
      </c>
      <c r="H211" s="6">
        <v>16.22</v>
      </c>
      <c r="I211" s="39">
        <v>16.22</v>
      </c>
      <c r="J211" s="35">
        <f t="shared" si="4"/>
        <v>0</v>
      </c>
    </row>
    <row r="212" spans="1:10" ht="18" customHeight="1" x14ac:dyDescent="0.25">
      <c r="A212" s="20">
        <v>208</v>
      </c>
      <c r="B212" s="38" t="s">
        <v>130</v>
      </c>
      <c r="C212" s="47"/>
      <c r="D212" s="12" t="s">
        <v>969</v>
      </c>
      <c r="E212" s="59"/>
      <c r="F212" s="12" t="s">
        <v>972</v>
      </c>
      <c r="G212" s="6">
        <v>8</v>
      </c>
      <c r="H212" s="6">
        <v>16.22</v>
      </c>
      <c r="I212" s="39">
        <v>16.22</v>
      </c>
      <c r="J212" s="35">
        <f t="shared" si="4"/>
        <v>0</v>
      </c>
    </row>
    <row r="213" spans="1:10" ht="18" customHeight="1" x14ac:dyDescent="0.25">
      <c r="A213" s="20">
        <v>209</v>
      </c>
      <c r="B213" s="38" t="s">
        <v>130</v>
      </c>
      <c r="C213" s="47"/>
      <c r="D213" s="12" t="s">
        <v>969</v>
      </c>
      <c r="E213" s="59"/>
      <c r="F213" s="12" t="s">
        <v>973</v>
      </c>
      <c r="G213" s="16">
        <v>14.5</v>
      </c>
      <c r="H213" s="6">
        <v>32</v>
      </c>
      <c r="I213" s="39">
        <v>32</v>
      </c>
      <c r="J213" s="35">
        <f t="shared" si="4"/>
        <v>0</v>
      </c>
    </row>
    <row r="214" spans="1:10" ht="18" customHeight="1" x14ac:dyDescent="0.25">
      <c r="A214" s="20">
        <v>210</v>
      </c>
      <c r="B214" s="38" t="s">
        <v>130</v>
      </c>
      <c r="C214" s="47"/>
      <c r="D214" s="12" t="s">
        <v>969</v>
      </c>
      <c r="E214" s="59"/>
      <c r="F214" s="12" t="s">
        <v>974</v>
      </c>
      <c r="G214" s="6">
        <v>10</v>
      </c>
      <c r="H214" s="6">
        <v>32</v>
      </c>
      <c r="I214" s="39">
        <v>32</v>
      </c>
      <c r="J214" s="35">
        <f t="shared" si="4"/>
        <v>0</v>
      </c>
    </row>
    <row r="215" spans="1:10" ht="18" customHeight="1" x14ac:dyDescent="0.25">
      <c r="A215" s="20">
        <v>211</v>
      </c>
      <c r="B215" s="38" t="s">
        <v>130</v>
      </c>
      <c r="C215" s="47"/>
      <c r="D215" s="12" t="s">
        <v>969</v>
      </c>
      <c r="E215" s="59"/>
      <c r="F215" s="12" t="s">
        <v>975</v>
      </c>
      <c r="G215" s="16">
        <v>14.5</v>
      </c>
      <c r="H215" s="6">
        <v>32</v>
      </c>
      <c r="I215" s="39">
        <v>32</v>
      </c>
      <c r="J215" s="35">
        <f t="shared" si="4"/>
        <v>0</v>
      </c>
    </row>
    <row r="216" spans="1:10" ht="18" customHeight="1" x14ac:dyDescent="0.25">
      <c r="A216" s="20">
        <v>212</v>
      </c>
      <c r="B216" s="38" t="s">
        <v>130</v>
      </c>
      <c r="C216" s="47"/>
      <c r="D216" s="12" t="s">
        <v>976</v>
      </c>
      <c r="E216" s="59"/>
      <c r="F216" s="12" t="s">
        <v>977</v>
      </c>
      <c r="G216" s="6">
        <v>9</v>
      </c>
      <c r="H216" s="6">
        <v>2.12</v>
      </c>
      <c r="I216" s="39">
        <v>4.4000000000000004</v>
      </c>
      <c r="J216" s="35">
        <f t="shared" si="4"/>
        <v>1.0754716981132075</v>
      </c>
    </row>
    <row r="217" spans="1:10" ht="18" customHeight="1" x14ac:dyDescent="0.25">
      <c r="A217" s="20">
        <v>213</v>
      </c>
      <c r="B217" s="38" t="s">
        <v>130</v>
      </c>
      <c r="C217" s="47"/>
      <c r="D217" s="12" t="s">
        <v>976</v>
      </c>
      <c r="E217" s="59"/>
      <c r="F217" s="12" t="s">
        <v>978</v>
      </c>
      <c r="G217" s="6">
        <v>8</v>
      </c>
      <c r="H217" s="6">
        <v>2.12</v>
      </c>
      <c r="I217" s="39">
        <v>7.5</v>
      </c>
      <c r="J217" s="35">
        <f t="shared" si="4"/>
        <v>2.5377358490566038</v>
      </c>
    </row>
    <row r="218" spans="1:10" ht="18" customHeight="1" x14ac:dyDescent="0.25">
      <c r="A218" s="20">
        <v>214</v>
      </c>
      <c r="B218" s="38" t="s">
        <v>130</v>
      </c>
      <c r="C218" s="47"/>
      <c r="D218" s="12" t="s">
        <v>976</v>
      </c>
      <c r="E218" s="59"/>
      <c r="F218" s="12" t="s">
        <v>979</v>
      </c>
      <c r="G218" s="16">
        <v>14.5</v>
      </c>
      <c r="H218" s="6">
        <v>2.12</v>
      </c>
      <c r="I218" s="39">
        <v>10.91</v>
      </c>
      <c r="J218" s="35">
        <f t="shared" si="4"/>
        <v>4.1462264150943398</v>
      </c>
    </row>
    <row r="219" spans="1:10" ht="18" customHeight="1" x14ac:dyDescent="0.25">
      <c r="A219" s="20">
        <v>215</v>
      </c>
      <c r="B219" s="38" t="s">
        <v>130</v>
      </c>
      <c r="C219" s="47"/>
      <c r="D219" s="12" t="s">
        <v>976</v>
      </c>
      <c r="E219" s="59"/>
      <c r="F219" s="12" t="s">
        <v>980</v>
      </c>
      <c r="G219" s="6">
        <v>10</v>
      </c>
      <c r="H219" s="6">
        <v>2.7</v>
      </c>
      <c r="I219" s="39">
        <v>12.9</v>
      </c>
      <c r="J219" s="35">
        <f t="shared" si="4"/>
        <v>3.7777777777777777</v>
      </c>
    </row>
    <row r="220" spans="1:10" ht="18" customHeight="1" x14ac:dyDescent="0.25">
      <c r="A220" s="20">
        <v>216</v>
      </c>
      <c r="B220" s="38" t="s">
        <v>130</v>
      </c>
      <c r="C220" s="47"/>
      <c r="D220" s="12" t="s">
        <v>976</v>
      </c>
      <c r="E220" s="59"/>
      <c r="F220" s="12" t="s">
        <v>981</v>
      </c>
      <c r="G220" s="16">
        <v>14.5</v>
      </c>
      <c r="H220" s="6">
        <v>5.3</v>
      </c>
      <c r="I220" s="39">
        <v>15.6</v>
      </c>
      <c r="J220" s="35">
        <f t="shared" si="4"/>
        <v>1.9433962264150946</v>
      </c>
    </row>
    <row r="221" spans="1:10" ht="18" customHeight="1" x14ac:dyDescent="0.25">
      <c r="A221" s="20">
        <v>217</v>
      </c>
      <c r="B221" s="38" t="s">
        <v>130</v>
      </c>
      <c r="C221" s="47"/>
      <c r="D221" s="12" t="s">
        <v>976</v>
      </c>
      <c r="E221" s="59"/>
      <c r="F221" s="12" t="s">
        <v>982</v>
      </c>
      <c r="G221" s="6">
        <v>9</v>
      </c>
      <c r="H221" s="6">
        <v>2.7</v>
      </c>
      <c r="I221" s="39">
        <v>8.5</v>
      </c>
      <c r="J221" s="35">
        <f t="shared" si="4"/>
        <v>2.1481481481481479</v>
      </c>
    </row>
    <row r="222" spans="1:10" ht="18" customHeight="1" x14ac:dyDescent="0.25">
      <c r="A222" s="22">
        <v>218</v>
      </c>
      <c r="B222" s="42" t="s">
        <v>275</v>
      </c>
      <c r="C222" s="52"/>
      <c r="D222" s="17" t="s">
        <v>983</v>
      </c>
      <c r="E222" s="60"/>
      <c r="F222" s="17" t="s">
        <v>984</v>
      </c>
      <c r="G222" s="18">
        <v>5.68</v>
      </c>
      <c r="H222" s="18">
        <v>2.7</v>
      </c>
      <c r="I222" s="43">
        <v>153.04900000000001</v>
      </c>
      <c r="J222" s="35">
        <f t="shared" si="4"/>
        <v>55.684814814814814</v>
      </c>
    </row>
    <row r="223" spans="1:10" ht="18" customHeight="1" x14ac:dyDescent="0.25">
      <c r="A223" s="22">
        <v>219</v>
      </c>
      <c r="B223" s="42" t="s">
        <v>275</v>
      </c>
      <c r="C223" s="52"/>
      <c r="D223" s="17" t="s">
        <v>985</v>
      </c>
      <c r="E223" s="60"/>
      <c r="F223" s="17" t="s">
        <v>984</v>
      </c>
      <c r="G223" s="18">
        <v>11.200000000000001</v>
      </c>
      <c r="H223" s="18">
        <v>2.7</v>
      </c>
      <c r="I223" s="43">
        <v>123.864</v>
      </c>
      <c r="J223" s="35">
        <f t="shared" si="4"/>
        <v>44.875555555555557</v>
      </c>
    </row>
    <row r="224" spans="1:10" ht="18" customHeight="1" x14ac:dyDescent="0.25">
      <c r="A224" s="22">
        <v>220</v>
      </c>
      <c r="B224" s="42" t="s">
        <v>275</v>
      </c>
      <c r="C224" s="52"/>
      <c r="D224" s="17" t="s">
        <v>986</v>
      </c>
      <c r="E224" s="60"/>
      <c r="F224" s="17" t="s">
        <v>987</v>
      </c>
      <c r="G224" s="18">
        <v>11.200000000000001</v>
      </c>
      <c r="H224" s="18">
        <v>2.63</v>
      </c>
      <c r="I224" s="43">
        <v>4.3419999999999996</v>
      </c>
      <c r="J224" s="35">
        <f t="shared" si="4"/>
        <v>0.65095057034220516</v>
      </c>
    </row>
    <row r="225" spans="1:11" ht="18" customHeight="1" x14ac:dyDescent="0.25">
      <c r="A225" s="20">
        <v>221</v>
      </c>
      <c r="B225" s="38" t="s">
        <v>275</v>
      </c>
      <c r="C225" s="47"/>
      <c r="D225" s="7" t="s">
        <v>986</v>
      </c>
      <c r="E225" s="55"/>
      <c r="F225" s="7" t="s">
        <v>988</v>
      </c>
      <c r="G225" s="6">
        <v>69.421949999999995</v>
      </c>
      <c r="H225" s="19">
        <v>5.0599999999999996</v>
      </c>
      <c r="I225" s="44">
        <v>8.3070000000000004</v>
      </c>
      <c r="J225" s="35">
        <f t="shared" si="4"/>
        <v>0.64169960474308319</v>
      </c>
    </row>
    <row r="226" spans="1:11" ht="18" customHeight="1" x14ac:dyDescent="0.25">
      <c r="A226" s="20">
        <v>222</v>
      </c>
      <c r="B226" s="38" t="s">
        <v>275</v>
      </c>
      <c r="C226" s="47"/>
      <c r="D226" s="7" t="s">
        <v>986</v>
      </c>
      <c r="E226" s="55"/>
      <c r="F226" s="7" t="s">
        <v>989</v>
      </c>
      <c r="G226" s="6">
        <v>115.70325</v>
      </c>
      <c r="H226" s="19">
        <v>8.36</v>
      </c>
      <c r="I226" s="44">
        <v>13.676</v>
      </c>
      <c r="J226" s="35">
        <f t="shared" si="4"/>
        <v>0.63588516746411505</v>
      </c>
    </row>
    <row r="227" spans="1:11" ht="18" customHeight="1" x14ac:dyDescent="0.25">
      <c r="A227" s="20">
        <v>223</v>
      </c>
      <c r="B227" s="38" t="s">
        <v>275</v>
      </c>
      <c r="C227" s="47"/>
      <c r="D227" s="7" t="s">
        <v>986</v>
      </c>
      <c r="E227" s="55"/>
      <c r="F227" s="7" t="s">
        <v>990</v>
      </c>
      <c r="G227" s="19">
        <v>12</v>
      </c>
      <c r="H227" s="19">
        <v>13.29</v>
      </c>
      <c r="I227" s="44">
        <v>21.697000000000003</v>
      </c>
      <c r="J227" s="35">
        <f t="shared" si="4"/>
        <v>0.6325808878856285</v>
      </c>
    </row>
    <row r="228" spans="1:11" ht="18" customHeight="1" x14ac:dyDescent="0.25">
      <c r="A228" s="20">
        <v>224</v>
      </c>
      <c r="B228" s="38" t="s">
        <v>275</v>
      </c>
      <c r="C228" s="47"/>
      <c r="D228" s="7" t="s">
        <v>991</v>
      </c>
      <c r="E228" s="55"/>
      <c r="F228" s="7" t="s">
        <v>992</v>
      </c>
      <c r="G228" s="19">
        <v>11</v>
      </c>
      <c r="H228" s="19">
        <v>3</v>
      </c>
      <c r="I228" s="44">
        <v>5.1479999999999997</v>
      </c>
      <c r="J228" s="35">
        <f t="shared" si="4"/>
        <v>0.71599999999999997</v>
      </c>
    </row>
    <row r="229" spans="1:11" ht="18" customHeight="1" x14ac:dyDescent="0.25">
      <c r="A229" s="20">
        <v>225</v>
      </c>
      <c r="B229" s="38" t="s">
        <v>275</v>
      </c>
      <c r="C229" s="47"/>
      <c r="D229" s="7" t="s">
        <v>991</v>
      </c>
      <c r="E229" s="55"/>
      <c r="F229" s="7" t="s">
        <v>987</v>
      </c>
      <c r="G229" s="19">
        <v>20</v>
      </c>
      <c r="H229" s="19">
        <v>4</v>
      </c>
      <c r="I229" s="44">
        <v>7.4620000000000006</v>
      </c>
      <c r="J229" s="35">
        <f t="shared" si="4"/>
        <v>0.86550000000000016</v>
      </c>
    </row>
    <row r="230" spans="1:11" ht="18" customHeight="1" x14ac:dyDescent="0.25">
      <c r="A230" s="20">
        <v>226</v>
      </c>
      <c r="B230" s="38" t="s">
        <v>130</v>
      </c>
      <c r="C230" s="47"/>
      <c r="D230" s="7" t="s">
        <v>991</v>
      </c>
      <c r="E230" s="55"/>
      <c r="F230" s="7" t="s">
        <v>988</v>
      </c>
      <c r="G230" s="19">
        <v>9</v>
      </c>
      <c r="H230" s="19">
        <v>7</v>
      </c>
      <c r="I230" s="44">
        <v>12.129000000000001</v>
      </c>
      <c r="J230" s="35">
        <f t="shared" si="4"/>
        <v>0.73271428571428587</v>
      </c>
    </row>
    <row r="231" spans="1:11" ht="18" customHeight="1" x14ac:dyDescent="0.25">
      <c r="A231" s="20">
        <v>227</v>
      </c>
      <c r="B231" s="38" t="s">
        <v>127</v>
      </c>
      <c r="C231" s="47"/>
      <c r="D231" s="7" t="s">
        <v>991</v>
      </c>
      <c r="E231" s="55"/>
      <c r="F231" s="7" t="s">
        <v>990</v>
      </c>
      <c r="G231" s="19">
        <v>4</v>
      </c>
      <c r="H231" s="19">
        <v>20</v>
      </c>
      <c r="I231" s="44">
        <v>42.080999999999996</v>
      </c>
      <c r="J231" s="35">
        <f t="shared" si="4"/>
        <v>1.10405</v>
      </c>
    </row>
    <row r="232" spans="1:11" ht="18" customHeight="1" x14ac:dyDescent="0.25">
      <c r="A232" s="20">
        <v>228</v>
      </c>
      <c r="B232" s="38" t="s">
        <v>295</v>
      </c>
      <c r="C232" s="47"/>
      <c r="D232" s="7" t="s">
        <v>993</v>
      </c>
      <c r="E232" s="55"/>
      <c r="F232" s="7" t="s">
        <v>992</v>
      </c>
      <c r="G232" s="19">
        <v>150</v>
      </c>
      <c r="H232" s="19">
        <v>2</v>
      </c>
      <c r="I232" s="44">
        <v>3.7570000000000001</v>
      </c>
      <c r="J232" s="35">
        <f t="shared" si="4"/>
        <v>0.87850000000000006</v>
      </c>
    </row>
    <row r="233" spans="1:11" ht="18" customHeight="1" x14ac:dyDescent="0.25">
      <c r="A233" s="20">
        <v>229</v>
      </c>
      <c r="B233" s="38" t="s">
        <v>295</v>
      </c>
      <c r="C233" s="47"/>
      <c r="D233" s="7" t="s">
        <v>993</v>
      </c>
      <c r="E233" s="55"/>
      <c r="F233" s="7" t="s">
        <v>987</v>
      </c>
      <c r="G233" s="19">
        <v>290</v>
      </c>
      <c r="H233" s="19">
        <v>3</v>
      </c>
      <c r="I233" s="44">
        <v>5.8370000000000006</v>
      </c>
      <c r="J233" s="35">
        <f t="shared" si="4"/>
        <v>0.94566666666666688</v>
      </c>
    </row>
    <row r="234" spans="1:11" ht="18" customHeight="1" x14ac:dyDescent="0.25">
      <c r="A234" s="20">
        <v>230</v>
      </c>
      <c r="B234" s="38" t="s">
        <v>295</v>
      </c>
      <c r="C234" s="47"/>
      <c r="D234" s="38" t="s">
        <v>993</v>
      </c>
      <c r="E234" s="55"/>
      <c r="F234" s="7" t="s">
        <v>988</v>
      </c>
      <c r="G234" s="19">
        <v>40</v>
      </c>
      <c r="H234" s="19">
        <v>6</v>
      </c>
      <c r="I234" s="44">
        <v>10.920000000000002</v>
      </c>
      <c r="J234" s="35">
        <f t="shared" si="4"/>
        <v>0.82000000000000028</v>
      </c>
    </row>
    <row r="235" spans="1:11" ht="18" customHeight="1" x14ac:dyDescent="0.25">
      <c r="A235" s="20">
        <v>231</v>
      </c>
      <c r="B235" s="38" t="s">
        <v>295</v>
      </c>
      <c r="C235" s="47"/>
      <c r="D235" s="38" t="s">
        <v>993</v>
      </c>
      <c r="E235" s="55"/>
      <c r="F235" s="7" t="s">
        <v>990</v>
      </c>
      <c r="G235" s="19">
        <v>40</v>
      </c>
      <c r="H235" s="19">
        <v>20</v>
      </c>
      <c r="I235" s="44">
        <v>39.767000000000003</v>
      </c>
      <c r="J235" s="35">
        <f t="shared" si="4"/>
        <v>0.98835000000000006</v>
      </c>
    </row>
    <row r="236" spans="1:11" ht="18" customHeight="1" x14ac:dyDescent="0.25">
      <c r="A236" s="20">
        <v>232</v>
      </c>
      <c r="B236" s="38" t="s">
        <v>275</v>
      </c>
      <c r="C236" s="47"/>
      <c r="D236" s="38" t="s">
        <v>994</v>
      </c>
      <c r="E236" s="55"/>
      <c r="F236" s="7" t="s">
        <v>995</v>
      </c>
      <c r="G236" s="19"/>
      <c r="H236" s="19">
        <v>60</v>
      </c>
      <c r="I236" s="44">
        <v>132.964</v>
      </c>
      <c r="J236" s="35">
        <f t="shared" si="4"/>
        <v>1.2160666666666669</v>
      </c>
    </row>
    <row r="237" spans="1:11" ht="18" customHeight="1" x14ac:dyDescent="0.25">
      <c r="A237" s="20">
        <v>233</v>
      </c>
      <c r="B237" s="38" t="s">
        <v>359</v>
      </c>
      <c r="C237" s="47"/>
      <c r="D237" s="38" t="s">
        <v>994</v>
      </c>
      <c r="E237" s="55"/>
      <c r="F237" s="7" t="s">
        <v>987</v>
      </c>
      <c r="G237" s="19"/>
      <c r="H237" s="19">
        <v>75</v>
      </c>
      <c r="I237" s="44">
        <v>166.99800000000002</v>
      </c>
      <c r="J237" s="35">
        <f t="shared" si="4"/>
        <v>1.2266400000000002</v>
      </c>
    </row>
    <row r="238" spans="1:11" ht="18" customHeight="1" x14ac:dyDescent="0.25">
      <c r="A238" s="20">
        <v>234</v>
      </c>
      <c r="B238" s="38" t="s">
        <v>275</v>
      </c>
      <c r="C238" s="47"/>
      <c r="D238" s="38" t="s">
        <v>994</v>
      </c>
      <c r="E238" s="55"/>
      <c r="F238" s="7" t="s">
        <v>988</v>
      </c>
      <c r="G238" s="19"/>
      <c r="H238" s="19">
        <v>105</v>
      </c>
      <c r="I238" s="44">
        <v>234.84500000000003</v>
      </c>
      <c r="J238" s="35">
        <f t="shared" si="4"/>
        <v>1.236619047619048</v>
      </c>
    </row>
    <row r="239" spans="1:11" s="4" customFormat="1" ht="18" customHeight="1" x14ac:dyDescent="0.25">
      <c r="A239" s="20">
        <v>235</v>
      </c>
      <c r="B239" s="38" t="s">
        <v>275</v>
      </c>
      <c r="C239" s="47"/>
      <c r="D239" s="38" t="s">
        <v>994</v>
      </c>
      <c r="E239" s="55"/>
      <c r="F239" s="7" t="s">
        <v>989</v>
      </c>
      <c r="G239" s="19"/>
      <c r="H239" s="19">
        <v>240</v>
      </c>
      <c r="I239" s="44">
        <v>535.197</v>
      </c>
      <c r="J239" s="35">
        <f t="shared" si="4"/>
        <v>1.2299875</v>
      </c>
      <c r="K239" s="1"/>
    </row>
    <row r="240" spans="1:11" s="4" customFormat="1" ht="18" customHeight="1" x14ac:dyDescent="0.25">
      <c r="A240" s="20">
        <v>236</v>
      </c>
      <c r="B240" s="38" t="s">
        <v>275</v>
      </c>
      <c r="C240" s="47"/>
      <c r="D240" s="38" t="s">
        <v>994</v>
      </c>
      <c r="E240" s="55"/>
      <c r="F240" s="7" t="s">
        <v>990</v>
      </c>
      <c r="G240" s="19"/>
      <c r="H240" s="19">
        <v>295</v>
      </c>
      <c r="I240" s="44">
        <v>656.07100000000003</v>
      </c>
      <c r="J240" s="35">
        <f t="shared" si="4"/>
        <v>1.2239694915254238</v>
      </c>
      <c r="K240" s="1"/>
    </row>
    <row r="241" spans="1:10" ht="18" customHeight="1" x14ac:dyDescent="0.25">
      <c r="A241" s="20">
        <v>237</v>
      </c>
      <c r="B241" s="38" t="s">
        <v>275</v>
      </c>
      <c r="C241" s="47"/>
      <c r="D241" s="38" t="s">
        <v>996</v>
      </c>
      <c r="E241" s="55"/>
      <c r="F241" s="7" t="s">
        <v>997</v>
      </c>
      <c r="G241" s="19"/>
      <c r="H241" s="6">
        <v>17.5</v>
      </c>
      <c r="I241" s="39">
        <v>19.578000000000003</v>
      </c>
      <c r="J241" s="35">
        <f t="shared" si="4"/>
        <v>0.11874285714285726</v>
      </c>
    </row>
    <row r="242" spans="1:10" ht="18" customHeight="1" x14ac:dyDescent="0.25">
      <c r="A242" s="20">
        <v>238</v>
      </c>
      <c r="B242" s="38" t="s">
        <v>275</v>
      </c>
      <c r="C242" s="47"/>
      <c r="D242" s="38" t="s">
        <v>2120</v>
      </c>
      <c r="E242" s="55"/>
      <c r="F242" s="7" t="s">
        <v>2121</v>
      </c>
      <c r="G242" s="19"/>
      <c r="H242" s="6">
        <v>15</v>
      </c>
      <c r="I242" s="39">
        <v>19.578000000000003</v>
      </c>
      <c r="J242" s="35">
        <f t="shared" si="4"/>
        <v>0.30520000000000014</v>
      </c>
    </row>
    <row r="243" spans="1:10" ht="18" customHeight="1" x14ac:dyDescent="0.25">
      <c r="A243" s="20">
        <v>239</v>
      </c>
      <c r="B243" s="38" t="s">
        <v>275</v>
      </c>
      <c r="C243" s="47"/>
      <c r="D243" s="38" t="s">
        <v>998</v>
      </c>
      <c r="E243" s="55"/>
      <c r="F243" s="7" t="s">
        <v>999</v>
      </c>
      <c r="G243" s="19"/>
      <c r="H243" s="6">
        <v>6.12</v>
      </c>
      <c r="I243" s="39">
        <v>8.4109999999999996</v>
      </c>
      <c r="J243" s="35">
        <f t="shared" si="4"/>
        <v>0.37434640522875817</v>
      </c>
    </row>
    <row r="244" spans="1:10" ht="18" customHeight="1" x14ac:dyDescent="0.25">
      <c r="A244" s="20">
        <v>240</v>
      </c>
      <c r="B244" s="38" t="s">
        <v>275</v>
      </c>
      <c r="C244" s="47"/>
      <c r="D244" s="38" t="s">
        <v>998</v>
      </c>
      <c r="E244" s="55"/>
      <c r="F244" s="7" t="s">
        <v>1000</v>
      </c>
      <c r="G244" s="19"/>
      <c r="H244" s="6">
        <v>7.14</v>
      </c>
      <c r="I244" s="39">
        <v>9.4380000000000006</v>
      </c>
      <c r="J244" s="35">
        <f t="shared" si="4"/>
        <v>0.32184873949579851</v>
      </c>
    </row>
    <row r="245" spans="1:10" ht="18" customHeight="1" x14ac:dyDescent="0.25">
      <c r="A245" s="20">
        <v>241</v>
      </c>
      <c r="B245" s="38" t="s">
        <v>275</v>
      </c>
      <c r="C245" s="47"/>
      <c r="D245" s="38" t="s">
        <v>1001</v>
      </c>
      <c r="E245" s="55"/>
      <c r="F245" s="7" t="s">
        <v>1002</v>
      </c>
      <c r="G245" s="19"/>
      <c r="H245" s="6">
        <v>28.75</v>
      </c>
      <c r="I245" s="39">
        <v>31.625000000000004</v>
      </c>
      <c r="J245" s="35">
        <f t="shared" si="4"/>
        <v>0.10000000000000009</v>
      </c>
    </row>
    <row r="246" spans="1:10" ht="18" customHeight="1" x14ac:dyDescent="0.25">
      <c r="A246" s="20">
        <v>242</v>
      </c>
      <c r="B246" s="38" t="s">
        <v>275</v>
      </c>
      <c r="C246" s="47"/>
      <c r="D246" s="38" t="s">
        <v>1003</v>
      </c>
      <c r="E246" s="55"/>
      <c r="F246" s="7" t="s">
        <v>1002</v>
      </c>
      <c r="G246" s="19"/>
      <c r="H246" s="6">
        <v>4.75</v>
      </c>
      <c r="I246" s="39">
        <v>5.2250000000000005</v>
      </c>
      <c r="J246" s="35">
        <f t="shared" si="4"/>
        <v>0.10000000000000009</v>
      </c>
    </row>
    <row r="247" spans="1:10" ht="18" customHeight="1" x14ac:dyDescent="0.25">
      <c r="A247" s="20">
        <v>243</v>
      </c>
      <c r="B247" s="38" t="s">
        <v>275</v>
      </c>
      <c r="C247" s="47"/>
      <c r="D247" s="38" t="s">
        <v>1004</v>
      </c>
      <c r="E247" s="55"/>
      <c r="F247" s="7"/>
      <c r="G247" s="19"/>
      <c r="H247" s="6">
        <v>15.3</v>
      </c>
      <c r="I247" s="39">
        <v>16.830000000000002</v>
      </c>
      <c r="J247" s="35">
        <f t="shared" si="4"/>
        <v>0.10000000000000009</v>
      </c>
    </row>
    <row r="248" spans="1:10" ht="18" customHeight="1" x14ac:dyDescent="0.25">
      <c r="A248" s="20">
        <v>244</v>
      </c>
      <c r="B248" s="38" t="s">
        <v>275</v>
      </c>
      <c r="C248" s="47"/>
      <c r="D248" s="38" t="s">
        <v>1005</v>
      </c>
      <c r="E248" s="55"/>
      <c r="F248" s="7" t="s">
        <v>1006</v>
      </c>
      <c r="G248" s="19"/>
      <c r="H248" s="6">
        <v>600</v>
      </c>
      <c r="I248" s="39">
        <v>750</v>
      </c>
      <c r="J248" s="35">
        <f t="shared" si="4"/>
        <v>0.25</v>
      </c>
    </row>
    <row r="249" spans="1:10" ht="18" customHeight="1" x14ac:dyDescent="0.25">
      <c r="A249" s="20">
        <v>245</v>
      </c>
      <c r="B249" s="38" t="s">
        <v>275</v>
      </c>
      <c r="C249" s="47"/>
      <c r="D249" s="38" t="s">
        <v>1007</v>
      </c>
      <c r="E249" s="55"/>
      <c r="F249" s="7" t="s">
        <v>1008</v>
      </c>
      <c r="G249" s="19"/>
      <c r="H249" s="6">
        <v>45</v>
      </c>
      <c r="I249" s="39">
        <v>50</v>
      </c>
      <c r="J249" s="35">
        <f t="shared" si="4"/>
        <v>0.11111111111111116</v>
      </c>
    </row>
    <row r="250" spans="1:10" ht="18" customHeight="1" x14ac:dyDescent="0.25">
      <c r="A250" s="20">
        <v>246</v>
      </c>
      <c r="B250" s="38" t="s">
        <v>275</v>
      </c>
      <c r="C250" s="47"/>
      <c r="D250" s="38" t="s">
        <v>1009</v>
      </c>
      <c r="E250" s="55"/>
      <c r="F250" s="7" t="s">
        <v>1010</v>
      </c>
      <c r="G250" s="19"/>
      <c r="H250" s="19">
        <v>1500</v>
      </c>
      <c r="I250" s="44">
        <v>1950</v>
      </c>
      <c r="J250" s="35">
        <f t="shared" si="4"/>
        <v>0.30000000000000004</v>
      </c>
    </row>
    <row r="251" spans="1:10" ht="18" customHeight="1" x14ac:dyDescent="0.25">
      <c r="A251" s="26" t="s">
        <v>150</v>
      </c>
      <c r="B251" s="45" t="s">
        <v>295</v>
      </c>
      <c r="C251" s="53" t="s">
        <v>274</v>
      </c>
      <c r="D251" s="45" t="s">
        <v>1011</v>
      </c>
      <c r="E251" s="61" t="s">
        <v>1012</v>
      </c>
      <c r="F251" s="27"/>
      <c r="G251" s="28"/>
      <c r="H251" s="28">
        <v>2145</v>
      </c>
      <c r="I251" s="46">
        <v>2750</v>
      </c>
      <c r="J251" s="37">
        <f t="shared" si="4"/>
        <v>0.28205128205128216</v>
      </c>
    </row>
    <row r="252" spans="1:10" ht="18" customHeight="1" x14ac:dyDescent="0.25">
      <c r="A252" s="26" t="s">
        <v>151</v>
      </c>
      <c r="B252" s="45" t="s">
        <v>295</v>
      </c>
      <c r="C252" s="53" t="s">
        <v>274</v>
      </c>
      <c r="D252" s="45" t="s">
        <v>1013</v>
      </c>
      <c r="E252" s="61"/>
      <c r="F252" s="27"/>
      <c r="G252" s="28"/>
      <c r="H252" s="28">
        <v>3250</v>
      </c>
      <c r="I252" s="46">
        <v>4200</v>
      </c>
      <c r="J252" s="37">
        <f t="shared" si="4"/>
        <v>0.29230769230769238</v>
      </c>
    </row>
    <row r="253" spans="1:10" ht="18" customHeight="1" x14ac:dyDescent="0.25">
      <c r="A253" s="26" t="s">
        <v>366</v>
      </c>
      <c r="B253" s="45" t="s">
        <v>295</v>
      </c>
      <c r="C253" s="53" t="s">
        <v>274</v>
      </c>
      <c r="D253" s="45" t="s">
        <v>1014</v>
      </c>
      <c r="E253" s="61"/>
      <c r="F253" s="27"/>
      <c r="G253" s="28"/>
      <c r="H253" s="28">
        <v>585</v>
      </c>
      <c r="I253" s="46">
        <v>750</v>
      </c>
      <c r="J253" s="37">
        <f t="shared" si="4"/>
        <v>0.28205128205128216</v>
      </c>
    </row>
    <row r="254" spans="1:10" ht="18" customHeight="1" x14ac:dyDescent="0.25">
      <c r="A254" s="26" t="s">
        <v>793</v>
      </c>
      <c r="B254" s="45" t="s">
        <v>295</v>
      </c>
      <c r="C254" s="53" t="s">
        <v>274</v>
      </c>
      <c r="D254" s="45" t="s">
        <v>1015</v>
      </c>
      <c r="E254" s="61" t="s">
        <v>1016</v>
      </c>
      <c r="F254" s="27"/>
      <c r="G254" s="28"/>
      <c r="H254" s="28">
        <v>910</v>
      </c>
      <c r="I254" s="46">
        <v>1150</v>
      </c>
      <c r="J254" s="37">
        <f t="shared" si="4"/>
        <v>0.26373626373626369</v>
      </c>
    </row>
    <row r="255" spans="1:10" ht="18" customHeight="1" x14ac:dyDescent="0.25">
      <c r="A255" s="26" t="s">
        <v>1017</v>
      </c>
      <c r="B255" s="45" t="s">
        <v>295</v>
      </c>
      <c r="C255" s="53" t="s">
        <v>274</v>
      </c>
      <c r="D255" s="45" t="s">
        <v>1018</v>
      </c>
      <c r="E255" s="61"/>
      <c r="F255" s="27"/>
      <c r="G255" s="28"/>
      <c r="H255" s="28">
        <v>2145</v>
      </c>
      <c r="I255" s="46">
        <v>2750</v>
      </c>
      <c r="J255" s="37">
        <f t="shared" si="4"/>
        <v>0.28205128205128216</v>
      </c>
    </row>
    <row r="256" spans="1:10" ht="18" customHeight="1" x14ac:dyDescent="0.25">
      <c r="A256" s="26" t="s">
        <v>1019</v>
      </c>
      <c r="B256" s="45" t="s">
        <v>295</v>
      </c>
      <c r="C256" s="53" t="s">
        <v>274</v>
      </c>
      <c r="D256" s="45" t="s">
        <v>1020</v>
      </c>
      <c r="E256" s="61"/>
      <c r="F256" s="27"/>
      <c r="G256" s="28"/>
      <c r="H256" s="28">
        <v>3250</v>
      </c>
      <c r="I256" s="46">
        <v>4200</v>
      </c>
      <c r="J256" s="37">
        <f t="shared" si="4"/>
        <v>0.29230769230769238</v>
      </c>
    </row>
  </sheetData>
  <mergeCells count="1">
    <mergeCell ref="A1:I2"/>
  </mergeCells>
  <printOptions horizontalCentered="1"/>
  <pageMargins left="0" right="0" top="0.39370078740157483" bottom="0" header="0" footer="0"/>
  <pageSetup paperSize="9" scale="32" orientation="portrait" r:id="rId1"/>
  <headerFooter alignWithMargins="0"/>
  <rowBreaks count="1" manualBreakCount="1">
    <brk id="9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E5DB-E33E-49D4-A252-0FA189601A62}">
  <dimension ref="A1:H805"/>
  <sheetViews>
    <sheetView tabSelected="1" zoomScale="85" zoomScaleNormal="85" workbookViewId="0">
      <selection activeCell="C10" sqref="C10"/>
    </sheetView>
  </sheetViews>
  <sheetFormatPr defaultColWidth="9.109375" defaultRowHeight="18" customHeight="1" x14ac:dyDescent="0.3"/>
  <cols>
    <col min="1" max="1" width="10.5546875" style="70" bestFit="1" customWidth="1"/>
    <col min="2" max="2" width="35.44140625" style="79" bestFit="1" customWidth="1"/>
    <col min="3" max="3" width="24.88671875" style="70" bestFit="1" customWidth="1"/>
    <col min="4" max="4" width="14.33203125" style="70" bestFit="1" customWidth="1"/>
    <col min="5" max="5" width="17.6640625" style="70" bestFit="1" customWidth="1"/>
    <col min="6" max="6" width="53" style="70" bestFit="1" customWidth="1"/>
    <col min="7" max="7" width="16.88671875" style="70" bestFit="1" customWidth="1"/>
    <col min="8" max="8" width="17" style="80" bestFit="1" customWidth="1"/>
    <col min="9" max="16384" width="9.109375" style="70"/>
  </cols>
  <sheetData>
    <row r="1" spans="1:8" s="89" customFormat="1" ht="26.4" customHeight="1" x14ac:dyDescent="0.3">
      <c r="A1" s="88" t="s">
        <v>1148</v>
      </c>
      <c r="B1" s="88" t="s">
        <v>1149</v>
      </c>
      <c r="C1" s="88" t="s">
        <v>1150</v>
      </c>
      <c r="D1" s="88" t="s">
        <v>1151</v>
      </c>
      <c r="E1" s="88" t="s">
        <v>1152</v>
      </c>
      <c r="F1" s="88" t="s">
        <v>1153</v>
      </c>
      <c r="G1" s="88" t="s">
        <v>2131</v>
      </c>
      <c r="H1" s="88" t="s">
        <v>2130</v>
      </c>
    </row>
    <row r="2" spans="1:8" s="66" customFormat="1" ht="18" customHeight="1" x14ac:dyDescent="0.3">
      <c r="A2" s="63">
        <v>383</v>
      </c>
      <c r="B2" s="64" t="s">
        <v>472</v>
      </c>
      <c r="C2" s="65" t="s">
        <v>891</v>
      </c>
      <c r="D2" s="65" t="s">
        <v>1154</v>
      </c>
      <c r="E2" s="65" t="s">
        <v>1</v>
      </c>
      <c r="F2" s="65" t="s">
        <v>1155</v>
      </c>
      <c r="G2" s="65" t="s">
        <v>0</v>
      </c>
      <c r="H2" s="65" t="s">
        <v>1156</v>
      </c>
    </row>
    <row r="3" spans="1:8" s="66" customFormat="1" ht="18" customHeight="1" x14ac:dyDescent="0.3">
      <c r="A3" s="63">
        <v>386</v>
      </c>
      <c r="B3" s="64" t="s">
        <v>1157</v>
      </c>
      <c r="C3" s="65" t="s">
        <v>891</v>
      </c>
      <c r="D3" s="65" t="s">
        <v>1154</v>
      </c>
      <c r="E3" s="65" t="s">
        <v>1</v>
      </c>
      <c r="F3" s="65" t="s">
        <v>1158</v>
      </c>
      <c r="G3" s="65" t="s">
        <v>0</v>
      </c>
      <c r="H3" s="65" t="s">
        <v>1156</v>
      </c>
    </row>
    <row r="4" spans="1:8" s="66" customFormat="1" ht="18" customHeight="1" x14ac:dyDescent="0.3">
      <c r="A4" s="63">
        <v>390</v>
      </c>
      <c r="B4" s="64" t="s">
        <v>474</v>
      </c>
      <c r="C4" s="65" t="s">
        <v>891</v>
      </c>
      <c r="D4" s="65" t="s">
        <v>1154</v>
      </c>
      <c r="E4" s="65" t="s">
        <v>473</v>
      </c>
      <c r="F4" s="65" t="s">
        <v>1159</v>
      </c>
      <c r="G4" s="65" t="s">
        <v>0</v>
      </c>
      <c r="H4" s="65" t="s">
        <v>1156</v>
      </c>
    </row>
    <row r="5" spans="1:8" s="66" customFormat="1" ht="18" customHeight="1" x14ac:dyDescent="0.3">
      <c r="A5" s="63">
        <v>394</v>
      </c>
      <c r="B5" s="64" t="s">
        <v>475</v>
      </c>
      <c r="C5" s="65" t="s">
        <v>891</v>
      </c>
      <c r="D5" s="65" t="s">
        <v>1154</v>
      </c>
      <c r="E5" s="65" t="s">
        <v>1</v>
      </c>
      <c r="F5" s="65" t="s">
        <v>1160</v>
      </c>
      <c r="G5" s="65" t="s">
        <v>0</v>
      </c>
      <c r="H5" s="65" t="s">
        <v>1156</v>
      </c>
    </row>
    <row r="6" spans="1:8" s="66" customFormat="1" ht="18" customHeight="1" x14ac:dyDescent="0.3">
      <c r="A6" s="63">
        <v>465</v>
      </c>
      <c r="B6" s="64" t="s">
        <v>476</v>
      </c>
      <c r="C6" s="65" t="s">
        <v>891</v>
      </c>
      <c r="D6" s="65" t="s">
        <v>1154</v>
      </c>
      <c r="E6" s="65" t="s">
        <v>2</v>
      </c>
      <c r="F6" s="65" t="s">
        <v>1161</v>
      </c>
      <c r="G6" s="65" t="s">
        <v>0</v>
      </c>
      <c r="H6" s="65" t="s">
        <v>1156</v>
      </c>
    </row>
    <row r="7" spans="1:8" s="66" customFormat="1" ht="18" customHeight="1" x14ac:dyDescent="0.3">
      <c r="A7" s="63">
        <v>668</v>
      </c>
      <c r="B7" s="64" t="s">
        <v>1162</v>
      </c>
      <c r="C7" s="65" t="s">
        <v>891</v>
      </c>
      <c r="D7" s="65" t="s">
        <v>1154</v>
      </c>
      <c r="E7" s="65" t="s">
        <v>1</v>
      </c>
      <c r="F7" s="65" t="s">
        <v>1163</v>
      </c>
      <c r="G7" s="65" t="s">
        <v>3</v>
      </c>
      <c r="H7" s="65" t="s">
        <v>1164</v>
      </c>
    </row>
    <row r="8" spans="1:8" s="66" customFormat="1" ht="18" customHeight="1" x14ac:dyDescent="0.3">
      <c r="A8" s="63">
        <v>710</v>
      </c>
      <c r="B8" s="64" t="s">
        <v>477</v>
      </c>
      <c r="C8" s="65" t="s">
        <v>891</v>
      </c>
      <c r="D8" s="65" t="s">
        <v>4</v>
      </c>
      <c r="E8" s="65" t="s">
        <v>4</v>
      </c>
      <c r="F8" s="65" t="s">
        <v>1165</v>
      </c>
      <c r="G8" s="65" t="s">
        <v>0</v>
      </c>
      <c r="H8" s="65" t="s">
        <v>1166</v>
      </c>
    </row>
    <row r="9" spans="1:8" s="66" customFormat="1" ht="18" customHeight="1" x14ac:dyDescent="0.3">
      <c r="A9" s="63">
        <v>722</v>
      </c>
      <c r="B9" s="64" t="s">
        <v>478</v>
      </c>
      <c r="C9" s="65" t="s">
        <v>891</v>
      </c>
      <c r="D9" s="65" t="s">
        <v>1154</v>
      </c>
      <c r="E9" s="65" t="s">
        <v>1</v>
      </c>
      <c r="F9" s="65" t="s">
        <v>1167</v>
      </c>
      <c r="G9" s="65" t="s">
        <v>5</v>
      </c>
      <c r="H9" s="65" t="s">
        <v>1168</v>
      </c>
    </row>
    <row r="10" spans="1:8" s="66" customFormat="1" ht="18" customHeight="1" x14ac:dyDescent="0.3">
      <c r="A10" s="63">
        <v>798</v>
      </c>
      <c r="B10" s="64" t="s">
        <v>1021</v>
      </c>
      <c r="C10" s="65" t="s">
        <v>2129</v>
      </c>
      <c r="D10" s="65" t="s">
        <v>1154</v>
      </c>
      <c r="E10" s="65" t="s">
        <v>1</v>
      </c>
      <c r="F10" s="65" t="s">
        <v>1170</v>
      </c>
      <c r="G10" s="65" t="s">
        <v>6</v>
      </c>
      <c r="H10" s="65" t="s">
        <v>1171</v>
      </c>
    </row>
    <row r="11" spans="1:8" s="66" customFormat="1" ht="18" customHeight="1" x14ac:dyDescent="0.3">
      <c r="A11" s="63">
        <v>925</v>
      </c>
      <c r="B11" s="64" t="s">
        <v>1022</v>
      </c>
      <c r="C11" s="65" t="s">
        <v>891</v>
      </c>
      <c r="D11" s="65" t="s">
        <v>1154</v>
      </c>
      <c r="E11" s="65" t="s">
        <v>2</v>
      </c>
      <c r="F11" s="65" t="s">
        <v>1172</v>
      </c>
      <c r="G11" s="65" t="s">
        <v>7</v>
      </c>
      <c r="H11" s="65" t="s">
        <v>1168</v>
      </c>
    </row>
    <row r="12" spans="1:8" s="66" customFormat="1" ht="18" customHeight="1" x14ac:dyDescent="0.3">
      <c r="A12" s="63">
        <v>1002</v>
      </c>
      <c r="B12" s="64" t="s">
        <v>479</v>
      </c>
      <c r="C12" s="65" t="s">
        <v>891</v>
      </c>
      <c r="D12" s="65" t="s">
        <v>1154</v>
      </c>
      <c r="E12" s="65" t="s">
        <v>1</v>
      </c>
      <c r="F12" s="65" t="s">
        <v>1173</v>
      </c>
      <c r="G12" s="65" t="s">
        <v>0</v>
      </c>
      <c r="H12" s="65" t="s">
        <v>1174</v>
      </c>
    </row>
    <row r="13" spans="1:8" s="66" customFormat="1" ht="18" customHeight="1" x14ac:dyDescent="0.3">
      <c r="A13" s="63">
        <v>1025</v>
      </c>
      <c r="B13" s="64" t="s">
        <v>480</v>
      </c>
      <c r="C13" s="65" t="s">
        <v>891</v>
      </c>
      <c r="D13" s="65" t="s">
        <v>1154</v>
      </c>
      <c r="E13" s="65" t="s">
        <v>1</v>
      </c>
      <c r="F13" s="65" t="s">
        <v>1175</v>
      </c>
      <c r="G13" s="65" t="s">
        <v>0</v>
      </c>
      <c r="H13" s="65" t="s">
        <v>1156</v>
      </c>
    </row>
    <row r="14" spans="1:8" s="66" customFormat="1" ht="18" customHeight="1" x14ac:dyDescent="0.3">
      <c r="A14" s="63">
        <v>1069</v>
      </c>
      <c r="B14" s="64" t="s">
        <v>481</v>
      </c>
      <c r="C14" s="65" t="s">
        <v>891</v>
      </c>
      <c r="D14" s="65" t="s">
        <v>1154</v>
      </c>
      <c r="E14" s="65" t="s">
        <v>1</v>
      </c>
      <c r="F14" s="65" t="s">
        <v>1176</v>
      </c>
      <c r="G14" s="65" t="s">
        <v>0</v>
      </c>
      <c r="H14" s="65" t="s">
        <v>1166</v>
      </c>
    </row>
    <row r="15" spans="1:8" s="66" customFormat="1" ht="18" customHeight="1" x14ac:dyDescent="0.3">
      <c r="A15" s="63">
        <v>1071</v>
      </c>
      <c r="B15" s="64" t="s">
        <v>483</v>
      </c>
      <c r="C15" s="65" t="s">
        <v>891</v>
      </c>
      <c r="D15" s="65" t="s">
        <v>1154</v>
      </c>
      <c r="E15" s="65" t="s">
        <v>482</v>
      </c>
      <c r="F15" s="65" t="s">
        <v>1177</v>
      </c>
      <c r="G15" s="65" t="s">
        <v>0</v>
      </c>
      <c r="H15" s="65" t="s">
        <v>1156</v>
      </c>
    </row>
    <row r="16" spans="1:8" s="66" customFormat="1" ht="18" customHeight="1" x14ac:dyDescent="0.3">
      <c r="A16" s="63">
        <v>1111</v>
      </c>
      <c r="B16" s="64" t="s">
        <v>484</v>
      </c>
      <c r="C16" s="65" t="s">
        <v>1169</v>
      </c>
      <c r="D16" s="65" t="s">
        <v>1154</v>
      </c>
      <c r="E16" s="65" t="s">
        <v>2</v>
      </c>
      <c r="F16" s="65" t="s">
        <v>1178</v>
      </c>
      <c r="G16" s="65" t="s">
        <v>153</v>
      </c>
      <c r="H16" s="65" t="s">
        <v>1179</v>
      </c>
    </row>
    <row r="17" spans="1:8" s="66" customFormat="1" ht="18" customHeight="1" x14ac:dyDescent="0.3">
      <c r="A17" s="63">
        <v>1147</v>
      </c>
      <c r="B17" s="64" t="s">
        <v>485</v>
      </c>
      <c r="C17" s="65" t="s">
        <v>1169</v>
      </c>
      <c r="D17" s="65" t="s">
        <v>1154</v>
      </c>
      <c r="E17" s="65" t="s">
        <v>2</v>
      </c>
      <c r="F17" s="65" t="s">
        <v>1180</v>
      </c>
      <c r="G17" s="65" t="s">
        <v>152</v>
      </c>
      <c r="H17" s="65" t="s">
        <v>1181</v>
      </c>
    </row>
    <row r="18" spans="1:8" s="66" customFormat="1" ht="18" customHeight="1" x14ac:dyDescent="0.3">
      <c r="A18" s="63">
        <v>1165</v>
      </c>
      <c r="B18" s="64" t="s">
        <v>486</v>
      </c>
      <c r="C18" s="65" t="s">
        <v>891</v>
      </c>
      <c r="D18" s="65" t="s">
        <v>1154</v>
      </c>
      <c r="E18" s="65" t="s">
        <v>2</v>
      </c>
      <c r="F18" s="65" t="s">
        <v>1182</v>
      </c>
      <c r="G18" s="65" t="s">
        <v>0</v>
      </c>
      <c r="H18" s="65" t="s">
        <v>1183</v>
      </c>
    </row>
    <row r="19" spans="1:8" s="66" customFormat="1" ht="18" customHeight="1" x14ac:dyDescent="0.3">
      <c r="A19" s="63">
        <v>1761</v>
      </c>
      <c r="B19" s="64" t="s">
        <v>487</v>
      </c>
      <c r="C19" s="65" t="s">
        <v>891</v>
      </c>
      <c r="D19" s="65" t="s">
        <v>1154</v>
      </c>
      <c r="E19" s="65" t="s">
        <v>2</v>
      </c>
      <c r="F19" s="65" t="s">
        <v>1184</v>
      </c>
      <c r="G19" s="65" t="s">
        <v>0</v>
      </c>
      <c r="H19" s="65" t="s">
        <v>1185</v>
      </c>
    </row>
    <row r="20" spans="1:8" s="66" customFormat="1" ht="18" customHeight="1" x14ac:dyDescent="0.3">
      <c r="A20" s="63">
        <v>1770</v>
      </c>
      <c r="B20" s="64" t="s">
        <v>488</v>
      </c>
      <c r="C20" s="65" t="s">
        <v>891</v>
      </c>
      <c r="D20" s="65" t="s">
        <v>1154</v>
      </c>
      <c r="E20" s="65" t="s">
        <v>1</v>
      </c>
      <c r="F20" s="65" t="s">
        <v>1186</v>
      </c>
      <c r="G20" s="65" t="s">
        <v>8</v>
      </c>
      <c r="H20" s="65" t="s">
        <v>1168</v>
      </c>
    </row>
    <row r="21" spans="1:8" s="66" customFormat="1" ht="18" customHeight="1" x14ac:dyDescent="0.3">
      <c r="A21" s="63">
        <v>1792</v>
      </c>
      <c r="B21" s="64" t="s">
        <v>399</v>
      </c>
      <c r="C21" s="65" t="s">
        <v>891</v>
      </c>
      <c r="D21" s="65" t="s">
        <v>1154</v>
      </c>
      <c r="E21" s="65" t="s">
        <v>473</v>
      </c>
      <c r="F21" s="65" t="s">
        <v>1187</v>
      </c>
      <c r="G21" s="65" t="s">
        <v>9</v>
      </c>
      <c r="H21" s="65" t="s">
        <v>1168</v>
      </c>
    </row>
    <row r="22" spans="1:8" s="66" customFormat="1" ht="18" customHeight="1" x14ac:dyDescent="0.3">
      <c r="A22" s="63">
        <v>1807</v>
      </c>
      <c r="B22" s="64" t="s">
        <v>489</v>
      </c>
      <c r="C22" s="65" t="s">
        <v>891</v>
      </c>
      <c r="D22" s="65" t="s">
        <v>1154</v>
      </c>
      <c r="E22" s="65" t="s">
        <v>2</v>
      </c>
      <c r="F22" s="65" t="s">
        <v>1188</v>
      </c>
      <c r="G22" s="65" t="s">
        <v>0</v>
      </c>
      <c r="H22" s="65" t="s">
        <v>1156</v>
      </c>
    </row>
    <row r="23" spans="1:8" s="66" customFormat="1" ht="18" customHeight="1" x14ac:dyDescent="0.3">
      <c r="A23" s="63">
        <v>1834</v>
      </c>
      <c r="B23" s="64" t="s">
        <v>490</v>
      </c>
      <c r="C23" s="65" t="s">
        <v>1169</v>
      </c>
      <c r="D23" s="65" t="s">
        <v>1154</v>
      </c>
      <c r="E23" s="65" t="s">
        <v>1</v>
      </c>
      <c r="F23" s="65" t="s">
        <v>1189</v>
      </c>
      <c r="G23" s="65" t="s">
        <v>6</v>
      </c>
      <c r="H23" s="65" t="s">
        <v>1190</v>
      </c>
    </row>
    <row r="24" spans="1:8" s="66" customFormat="1" ht="18" customHeight="1" x14ac:dyDescent="0.3">
      <c r="A24" s="63">
        <v>1835</v>
      </c>
      <c r="B24" s="64" t="s">
        <v>728</v>
      </c>
      <c r="C24" s="65" t="s">
        <v>891</v>
      </c>
      <c r="D24" s="65" t="s">
        <v>1154</v>
      </c>
      <c r="E24" s="65" t="s">
        <v>2</v>
      </c>
      <c r="F24" s="65" t="s">
        <v>1191</v>
      </c>
      <c r="G24" s="65" t="s">
        <v>10</v>
      </c>
      <c r="H24" s="65" t="s">
        <v>1168</v>
      </c>
    </row>
    <row r="25" spans="1:8" s="66" customFormat="1" ht="18" customHeight="1" x14ac:dyDescent="0.3">
      <c r="A25" s="63">
        <v>1996</v>
      </c>
      <c r="B25" s="64" t="s">
        <v>491</v>
      </c>
      <c r="C25" s="65" t="s">
        <v>891</v>
      </c>
      <c r="D25" s="65" t="s">
        <v>1154</v>
      </c>
      <c r="E25" s="65" t="s">
        <v>2</v>
      </c>
      <c r="F25" s="65" t="s">
        <v>1192</v>
      </c>
      <c r="G25" s="65" t="s">
        <v>0</v>
      </c>
      <c r="H25" s="65" t="s">
        <v>1156</v>
      </c>
    </row>
    <row r="26" spans="1:8" s="66" customFormat="1" ht="18" customHeight="1" x14ac:dyDescent="0.3">
      <c r="A26" s="63">
        <v>2038</v>
      </c>
      <c r="B26" s="64" t="s">
        <v>492</v>
      </c>
      <c r="C26" s="65" t="s">
        <v>1169</v>
      </c>
      <c r="D26" s="65" t="s">
        <v>1154</v>
      </c>
      <c r="E26" s="65" t="s">
        <v>2</v>
      </c>
      <c r="F26" s="65" t="s">
        <v>1193</v>
      </c>
      <c r="G26" s="65" t="s">
        <v>152</v>
      </c>
      <c r="H26" s="65" t="s">
        <v>1181</v>
      </c>
    </row>
    <row r="27" spans="1:8" s="66" customFormat="1" ht="18" customHeight="1" x14ac:dyDescent="0.3">
      <c r="A27" s="63">
        <v>2294</v>
      </c>
      <c r="B27" s="64" t="s">
        <v>494</v>
      </c>
      <c r="C27" s="65" t="s">
        <v>891</v>
      </c>
      <c r="D27" s="65" t="s">
        <v>1154</v>
      </c>
      <c r="E27" s="65" t="s">
        <v>1</v>
      </c>
      <c r="F27" s="65" t="s">
        <v>1194</v>
      </c>
      <c r="G27" s="65" t="s">
        <v>11</v>
      </c>
      <c r="H27" s="65" t="s">
        <v>1168</v>
      </c>
    </row>
    <row r="28" spans="1:8" s="66" customFormat="1" ht="18" customHeight="1" x14ac:dyDescent="0.3">
      <c r="A28" s="63">
        <v>2405</v>
      </c>
      <c r="B28" s="64" t="s">
        <v>495</v>
      </c>
      <c r="C28" s="65" t="s">
        <v>891</v>
      </c>
      <c r="D28" s="65" t="s">
        <v>1154</v>
      </c>
      <c r="E28" s="65" t="s">
        <v>473</v>
      </c>
      <c r="F28" s="65" t="s">
        <v>1195</v>
      </c>
      <c r="G28" s="65" t="s">
        <v>0</v>
      </c>
      <c r="H28" s="65" t="s">
        <v>1156</v>
      </c>
    </row>
    <row r="29" spans="1:8" s="66" customFormat="1" ht="18" customHeight="1" x14ac:dyDescent="0.3">
      <c r="A29" s="63">
        <v>2476</v>
      </c>
      <c r="B29" s="64" t="s">
        <v>496</v>
      </c>
      <c r="C29" s="65" t="s">
        <v>891</v>
      </c>
      <c r="D29" s="65" t="s">
        <v>1154</v>
      </c>
      <c r="E29" s="65" t="s">
        <v>473</v>
      </c>
      <c r="F29" s="65" t="s">
        <v>1196</v>
      </c>
      <c r="G29" s="65" t="s">
        <v>12</v>
      </c>
      <c r="H29" s="65" t="s">
        <v>1197</v>
      </c>
    </row>
    <row r="30" spans="1:8" s="66" customFormat="1" ht="18" customHeight="1" x14ac:dyDescent="0.3">
      <c r="A30" s="63">
        <v>2477</v>
      </c>
      <c r="B30" s="64" t="s">
        <v>497</v>
      </c>
      <c r="C30" s="65" t="s">
        <v>891</v>
      </c>
      <c r="D30" s="65" t="s">
        <v>1154</v>
      </c>
      <c r="E30" s="65" t="s">
        <v>1</v>
      </c>
      <c r="F30" s="65" t="s">
        <v>1198</v>
      </c>
      <c r="G30" s="65" t="s">
        <v>13</v>
      </c>
      <c r="H30" s="65" t="s">
        <v>1168</v>
      </c>
    </row>
    <row r="31" spans="1:8" s="66" customFormat="1" ht="18" customHeight="1" x14ac:dyDescent="0.3">
      <c r="A31" s="63">
        <v>2483</v>
      </c>
      <c r="B31" s="64" t="s">
        <v>498</v>
      </c>
      <c r="C31" s="65" t="s">
        <v>1169</v>
      </c>
      <c r="D31" s="65" t="s">
        <v>1154</v>
      </c>
      <c r="E31" s="65" t="s">
        <v>1</v>
      </c>
      <c r="F31" s="65" t="s">
        <v>1199</v>
      </c>
      <c r="G31" s="65" t="s">
        <v>154</v>
      </c>
      <c r="H31" s="65" t="s">
        <v>1168</v>
      </c>
    </row>
    <row r="32" spans="1:8" s="66" customFormat="1" ht="18" customHeight="1" x14ac:dyDescent="0.3">
      <c r="A32" s="63">
        <v>2583</v>
      </c>
      <c r="B32" s="64" t="s">
        <v>1200</v>
      </c>
      <c r="C32" s="65" t="s">
        <v>891</v>
      </c>
      <c r="D32" s="65" t="s">
        <v>1154</v>
      </c>
      <c r="E32" s="65" t="s">
        <v>1</v>
      </c>
      <c r="F32" s="65" t="s">
        <v>1201</v>
      </c>
      <c r="G32" s="65" t="s">
        <v>14</v>
      </c>
      <c r="H32" s="65" t="s">
        <v>1168</v>
      </c>
    </row>
    <row r="33" spans="1:8" s="66" customFormat="1" ht="18" customHeight="1" x14ac:dyDescent="0.3">
      <c r="A33" s="63">
        <v>2601</v>
      </c>
      <c r="B33" s="64" t="s">
        <v>499</v>
      </c>
      <c r="C33" s="65" t="s">
        <v>891</v>
      </c>
      <c r="D33" s="65" t="s">
        <v>1154</v>
      </c>
      <c r="E33" s="65" t="s">
        <v>1</v>
      </c>
      <c r="F33" s="65" t="s">
        <v>1202</v>
      </c>
      <c r="G33" s="65" t="s">
        <v>15</v>
      </c>
      <c r="H33" s="65" t="s">
        <v>1168</v>
      </c>
    </row>
    <row r="34" spans="1:8" s="66" customFormat="1" ht="18" customHeight="1" x14ac:dyDescent="0.3">
      <c r="A34" s="63">
        <v>2637</v>
      </c>
      <c r="B34" s="64" t="s">
        <v>500</v>
      </c>
      <c r="C34" s="65" t="s">
        <v>891</v>
      </c>
      <c r="D34" s="65" t="s">
        <v>1154</v>
      </c>
      <c r="E34" s="65" t="s">
        <v>473</v>
      </c>
      <c r="F34" s="65" t="s">
        <v>1203</v>
      </c>
      <c r="G34" s="65" t="s">
        <v>0</v>
      </c>
      <c r="H34" s="65" t="s">
        <v>1156</v>
      </c>
    </row>
    <row r="35" spans="1:8" s="66" customFormat="1" ht="18" customHeight="1" x14ac:dyDescent="0.3">
      <c r="A35" s="67">
        <v>2890</v>
      </c>
      <c r="B35" s="68" t="s">
        <v>2081</v>
      </c>
      <c r="C35" s="69" t="s">
        <v>891</v>
      </c>
      <c r="D35" s="67" t="s">
        <v>4</v>
      </c>
      <c r="E35" s="67" t="s">
        <v>4</v>
      </c>
      <c r="F35" s="67" t="s">
        <v>2086</v>
      </c>
      <c r="G35" s="67" t="s">
        <v>2108</v>
      </c>
      <c r="H35" s="65" t="s">
        <v>1168</v>
      </c>
    </row>
    <row r="36" spans="1:8" s="66" customFormat="1" ht="18" customHeight="1" x14ac:dyDescent="0.3">
      <c r="A36" s="67">
        <v>2890</v>
      </c>
      <c r="B36" s="68" t="s">
        <v>2081</v>
      </c>
      <c r="C36" s="67" t="s">
        <v>891</v>
      </c>
      <c r="D36" s="67" t="s">
        <v>4</v>
      </c>
      <c r="E36" s="67" t="s">
        <v>4</v>
      </c>
      <c r="F36" s="67" t="s">
        <v>2086</v>
      </c>
      <c r="G36" s="67" t="s">
        <v>2108</v>
      </c>
      <c r="H36" s="65" t="s">
        <v>1168</v>
      </c>
    </row>
    <row r="37" spans="1:8" s="66" customFormat="1" ht="18" customHeight="1" x14ac:dyDescent="0.3">
      <c r="A37" s="63">
        <v>3004</v>
      </c>
      <c r="B37" s="64" t="s">
        <v>501</v>
      </c>
      <c r="C37" s="65" t="s">
        <v>891</v>
      </c>
      <c r="D37" s="65" t="s">
        <v>1154</v>
      </c>
      <c r="E37" s="65" t="s">
        <v>1</v>
      </c>
      <c r="F37" s="65" t="s">
        <v>1204</v>
      </c>
      <c r="G37" s="65" t="s">
        <v>0</v>
      </c>
      <c r="H37" s="65" t="s">
        <v>1156</v>
      </c>
    </row>
    <row r="38" spans="1:8" s="66" customFormat="1" ht="18" customHeight="1" x14ac:dyDescent="0.3">
      <c r="A38" s="63">
        <v>3039</v>
      </c>
      <c r="B38" s="64" t="s">
        <v>1205</v>
      </c>
      <c r="C38" s="65" t="s">
        <v>891</v>
      </c>
      <c r="D38" s="65" t="s">
        <v>1154</v>
      </c>
      <c r="E38" s="65" t="s">
        <v>1</v>
      </c>
      <c r="F38" s="65" t="s">
        <v>1206</v>
      </c>
      <c r="G38" s="65" t="s">
        <v>16</v>
      </c>
      <c r="H38" s="65" t="s">
        <v>1207</v>
      </c>
    </row>
    <row r="39" spans="1:8" s="66" customFormat="1" ht="18" customHeight="1" x14ac:dyDescent="0.3">
      <c r="A39" s="63">
        <v>3043</v>
      </c>
      <c r="B39" s="64" t="s">
        <v>502</v>
      </c>
      <c r="C39" s="65" t="s">
        <v>891</v>
      </c>
      <c r="D39" s="65" t="s">
        <v>1154</v>
      </c>
      <c r="E39" s="65" t="s">
        <v>473</v>
      </c>
      <c r="F39" s="65" t="s">
        <v>1208</v>
      </c>
      <c r="G39" s="65" t="s">
        <v>10</v>
      </c>
      <c r="H39" s="65" t="s">
        <v>1209</v>
      </c>
    </row>
    <row r="40" spans="1:8" s="66" customFormat="1" ht="18" customHeight="1" x14ac:dyDescent="0.3">
      <c r="A40" s="63">
        <v>3044</v>
      </c>
      <c r="B40" s="64" t="s">
        <v>1121</v>
      </c>
      <c r="C40" s="65" t="s">
        <v>891</v>
      </c>
      <c r="D40" s="65" t="s">
        <v>1154</v>
      </c>
      <c r="E40" s="65" t="s">
        <v>1</v>
      </c>
      <c r="F40" s="65" t="s">
        <v>1210</v>
      </c>
      <c r="G40" s="65" t="s">
        <v>1122</v>
      </c>
      <c r="H40" s="65" t="s">
        <v>1168</v>
      </c>
    </row>
    <row r="41" spans="1:8" s="66" customFormat="1" ht="18" customHeight="1" x14ac:dyDescent="0.3">
      <c r="A41" s="63">
        <v>3045</v>
      </c>
      <c r="B41" s="64" t="s">
        <v>1023</v>
      </c>
      <c r="C41" s="65" t="s">
        <v>891</v>
      </c>
      <c r="D41" s="65" t="s">
        <v>1154</v>
      </c>
      <c r="E41" s="65" t="s">
        <v>1</v>
      </c>
      <c r="F41" s="65" t="s">
        <v>1211</v>
      </c>
      <c r="G41" s="65" t="s">
        <v>17</v>
      </c>
      <c r="H41" s="65" t="s">
        <v>1212</v>
      </c>
    </row>
    <row r="42" spans="1:8" s="66" customFormat="1" ht="18" customHeight="1" x14ac:dyDescent="0.3">
      <c r="A42" s="63">
        <v>3047</v>
      </c>
      <c r="B42" s="64" t="s">
        <v>503</v>
      </c>
      <c r="C42" s="65" t="s">
        <v>1169</v>
      </c>
      <c r="D42" s="65" t="s">
        <v>1154</v>
      </c>
      <c r="E42" s="65" t="s">
        <v>1</v>
      </c>
      <c r="F42" s="65" t="s">
        <v>1213</v>
      </c>
      <c r="G42" s="65" t="s">
        <v>6</v>
      </c>
      <c r="H42" s="65" t="s">
        <v>1214</v>
      </c>
    </row>
    <row r="43" spans="1:8" s="66" customFormat="1" ht="18" customHeight="1" x14ac:dyDescent="0.3">
      <c r="A43" s="63">
        <v>3073</v>
      </c>
      <c r="B43" s="64" t="s">
        <v>504</v>
      </c>
      <c r="C43" s="65" t="s">
        <v>891</v>
      </c>
      <c r="D43" s="65" t="s">
        <v>1154</v>
      </c>
      <c r="E43" s="65" t="s">
        <v>1</v>
      </c>
      <c r="F43" s="65" t="s">
        <v>1215</v>
      </c>
      <c r="G43" s="65" t="s">
        <v>3</v>
      </c>
      <c r="H43" s="65" t="s">
        <v>1164</v>
      </c>
    </row>
    <row r="44" spans="1:8" s="66" customFormat="1" ht="18" customHeight="1" x14ac:dyDescent="0.3">
      <c r="A44" s="63">
        <v>3074</v>
      </c>
      <c r="B44" s="64" t="s">
        <v>729</v>
      </c>
      <c r="C44" s="65" t="s">
        <v>891</v>
      </c>
      <c r="D44" s="65" t="s">
        <v>1154</v>
      </c>
      <c r="E44" s="65" t="s">
        <v>1</v>
      </c>
      <c r="F44" s="65" t="s">
        <v>1216</v>
      </c>
      <c r="G44" s="65" t="s">
        <v>12</v>
      </c>
      <c r="H44" s="65" t="s">
        <v>1168</v>
      </c>
    </row>
    <row r="45" spans="1:8" s="66" customFormat="1" ht="18" customHeight="1" x14ac:dyDescent="0.3">
      <c r="A45" s="63">
        <v>3076</v>
      </c>
      <c r="B45" s="64" t="s">
        <v>505</v>
      </c>
      <c r="C45" s="65" t="s">
        <v>891</v>
      </c>
      <c r="D45" s="65" t="s">
        <v>1154</v>
      </c>
      <c r="E45" s="65" t="s">
        <v>1</v>
      </c>
      <c r="F45" s="65" t="s">
        <v>1217</v>
      </c>
      <c r="G45" s="65" t="s">
        <v>0</v>
      </c>
      <c r="H45" s="65" t="s">
        <v>1156</v>
      </c>
    </row>
    <row r="46" spans="1:8" s="66" customFormat="1" ht="18" customHeight="1" x14ac:dyDescent="0.3">
      <c r="A46" s="63">
        <v>3078</v>
      </c>
      <c r="B46" s="64" t="s">
        <v>506</v>
      </c>
      <c r="C46" s="65" t="s">
        <v>891</v>
      </c>
      <c r="D46" s="65" t="s">
        <v>1154</v>
      </c>
      <c r="E46" s="65" t="s">
        <v>473</v>
      </c>
      <c r="F46" s="65" t="s">
        <v>1218</v>
      </c>
      <c r="G46" s="65" t="s">
        <v>0</v>
      </c>
      <c r="H46" s="65" t="s">
        <v>1156</v>
      </c>
    </row>
    <row r="47" spans="1:8" s="66" customFormat="1" ht="18" customHeight="1" x14ac:dyDescent="0.3">
      <c r="A47" s="63">
        <v>3079</v>
      </c>
      <c r="B47" s="64" t="s">
        <v>507</v>
      </c>
      <c r="C47" s="65" t="s">
        <v>891</v>
      </c>
      <c r="D47" s="65" t="s">
        <v>1154</v>
      </c>
      <c r="E47" s="65" t="s">
        <v>473</v>
      </c>
      <c r="F47" s="65" t="s">
        <v>1219</v>
      </c>
      <c r="G47" s="65" t="s">
        <v>0</v>
      </c>
      <c r="H47" s="65" t="s">
        <v>1156</v>
      </c>
    </row>
    <row r="48" spans="1:8" s="66" customFormat="1" ht="18" customHeight="1" x14ac:dyDescent="0.3">
      <c r="A48" s="63">
        <v>3134</v>
      </c>
      <c r="B48" s="64" t="s">
        <v>508</v>
      </c>
      <c r="C48" s="65" t="s">
        <v>891</v>
      </c>
      <c r="D48" s="65" t="s">
        <v>1220</v>
      </c>
      <c r="E48" s="65" t="s">
        <v>158</v>
      </c>
      <c r="F48" s="65" t="s">
        <v>1221</v>
      </c>
      <c r="G48" s="65" t="s">
        <v>0</v>
      </c>
      <c r="H48" s="65" t="s">
        <v>1156</v>
      </c>
    </row>
    <row r="49" spans="1:8" s="66" customFormat="1" ht="18" customHeight="1" x14ac:dyDescent="0.3">
      <c r="A49" s="63">
        <v>3168</v>
      </c>
      <c r="B49" s="64" t="s">
        <v>509</v>
      </c>
      <c r="C49" s="65" t="s">
        <v>891</v>
      </c>
      <c r="D49" s="65" t="s">
        <v>4</v>
      </c>
      <c r="E49" s="65" t="s">
        <v>4</v>
      </c>
      <c r="F49" s="65" t="s">
        <v>1222</v>
      </c>
      <c r="G49" s="65" t="s">
        <v>0</v>
      </c>
      <c r="H49" s="65" t="s">
        <v>1185</v>
      </c>
    </row>
    <row r="50" spans="1:8" s="66" customFormat="1" ht="18" customHeight="1" x14ac:dyDescent="0.3">
      <c r="A50" s="63">
        <v>3203</v>
      </c>
      <c r="B50" s="64" t="s">
        <v>510</v>
      </c>
      <c r="C50" s="65" t="s">
        <v>891</v>
      </c>
      <c r="D50" s="65" t="s">
        <v>1220</v>
      </c>
      <c r="E50" s="65" t="s">
        <v>158</v>
      </c>
      <c r="F50" s="65" t="s">
        <v>1223</v>
      </c>
      <c r="G50" s="65" t="s">
        <v>0</v>
      </c>
      <c r="H50" s="65" t="s">
        <v>1156</v>
      </c>
    </row>
    <row r="51" spans="1:8" s="66" customFormat="1" ht="18" customHeight="1" x14ac:dyDescent="0.3">
      <c r="A51" s="63">
        <v>3235</v>
      </c>
      <c r="B51" s="64" t="s">
        <v>511</v>
      </c>
      <c r="C51" s="65" t="s">
        <v>891</v>
      </c>
      <c r="D51" s="65" t="s">
        <v>1154</v>
      </c>
      <c r="E51" s="65" t="s">
        <v>473</v>
      </c>
      <c r="F51" s="65" t="s">
        <v>1224</v>
      </c>
      <c r="G51" s="65" t="s">
        <v>0</v>
      </c>
      <c r="H51" s="65" t="s">
        <v>1156</v>
      </c>
    </row>
    <row r="52" spans="1:8" s="66" customFormat="1" ht="18" customHeight="1" x14ac:dyDescent="0.3">
      <c r="A52" s="63">
        <v>3236</v>
      </c>
      <c r="B52" s="64" t="s">
        <v>512</v>
      </c>
      <c r="C52" s="65" t="s">
        <v>891</v>
      </c>
      <c r="D52" s="65" t="s">
        <v>1154</v>
      </c>
      <c r="E52" s="65" t="s">
        <v>473</v>
      </c>
      <c r="F52" s="65" t="s">
        <v>1225</v>
      </c>
      <c r="G52" s="65" t="s">
        <v>0</v>
      </c>
      <c r="H52" s="65" t="s">
        <v>1174</v>
      </c>
    </row>
    <row r="53" spans="1:8" s="66" customFormat="1" ht="18" customHeight="1" x14ac:dyDescent="0.3">
      <c r="A53" s="63">
        <v>3237</v>
      </c>
      <c r="B53" s="64" t="s">
        <v>513</v>
      </c>
      <c r="C53" s="65" t="s">
        <v>891</v>
      </c>
      <c r="D53" s="65" t="s">
        <v>1154</v>
      </c>
      <c r="E53" s="65" t="s">
        <v>482</v>
      </c>
      <c r="F53" s="65" t="s">
        <v>1226</v>
      </c>
      <c r="G53" s="65" t="s">
        <v>0</v>
      </c>
      <c r="H53" s="65" t="s">
        <v>1227</v>
      </c>
    </row>
    <row r="54" spans="1:8" s="66" customFormat="1" ht="18" customHeight="1" x14ac:dyDescent="0.3">
      <c r="A54" s="63">
        <v>3239</v>
      </c>
      <c r="B54" s="64" t="s">
        <v>1228</v>
      </c>
      <c r="C54" s="65" t="s">
        <v>891</v>
      </c>
      <c r="D54" s="65" t="s">
        <v>1154</v>
      </c>
      <c r="E54" s="65" t="s">
        <v>2</v>
      </c>
      <c r="F54" s="65" t="s">
        <v>1229</v>
      </c>
      <c r="G54" s="65" t="s">
        <v>18</v>
      </c>
      <c r="H54" s="65" t="s">
        <v>1168</v>
      </c>
    </row>
    <row r="55" spans="1:8" s="66" customFormat="1" ht="18" customHeight="1" x14ac:dyDescent="0.3">
      <c r="A55" s="63">
        <v>3240</v>
      </c>
      <c r="B55" s="64" t="s">
        <v>514</v>
      </c>
      <c r="C55" s="65" t="s">
        <v>891</v>
      </c>
      <c r="D55" s="65" t="s">
        <v>1154</v>
      </c>
      <c r="E55" s="65" t="s">
        <v>2</v>
      </c>
      <c r="F55" s="65" t="s">
        <v>1230</v>
      </c>
      <c r="G55" s="65" t="s">
        <v>15</v>
      </c>
      <c r="H55" s="65" t="s">
        <v>1168</v>
      </c>
    </row>
    <row r="56" spans="1:8" s="66" customFormat="1" ht="18" customHeight="1" x14ac:dyDescent="0.3">
      <c r="A56" s="67">
        <v>3268</v>
      </c>
      <c r="B56" s="68" t="s">
        <v>2082</v>
      </c>
      <c r="C56" s="69" t="s">
        <v>2085</v>
      </c>
      <c r="D56" s="67" t="s">
        <v>1154</v>
      </c>
      <c r="E56" s="67" t="s">
        <v>473</v>
      </c>
      <c r="F56" s="67" t="s">
        <v>2087</v>
      </c>
      <c r="G56" s="67" t="s">
        <v>2108</v>
      </c>
      <c r="H56" s="65" t="s">
        <v>2109</v>
      </c>
    </row>
    <row r="57" spans="1:8" s="66" customFormat="1" ht="18" customHeight="1" x14ac:dyDescent="0.3">
      <c r="A57" s="67">
        <v>3268</v>
      </c>
      <c r="B57" s="68" t="s">
        <v>2082</v>
      </c>
      <c r="C57" s="67" t="s">
        <v>2085</v>
      </c>
      <c r="D57" s="67" t="s">
        <v>1154</v>
      </c>
      <c r="E57" s="67" t="s">
        <v>473</v>
      </c>
      <c r="F57" s="67" t="s">
        <v>2087</v>
      </c>
      <c r="G57" s="67" t="s">
        <v>2108</v>
      </c>
      <c r="H57" s="65" t="s">
        <v>2109</v>
      </c>
    </row>
    <row r="58" spans="1:8" s="66" customFormat="1" ht="18" customHeight="1" x14ac:dyDescent="0.3">
      <c r="A58" s="63">
        <v>3273</v>
      </c>
      <c r="B58" s="64" t="s">
        <v>515</v>
      </c>
      <c r="C58" s="65" t="s">
        <v>1169</v>
      </c>
      <c r="D58" s="65" t="s">
        <v>1154</v>
      </c>
      <c r="E58" s="65" t="s">
        <v>1</v>
      </c>
      <c r="F58" s="65" t="s">
        <v>1231</v>
      </c>
      <c r="G58" s="65" t="s">
        <v>153</v>
      </c>
      <c r="H58" s="65" t="s">
        <v>1179</v>
      </c>
    </row>
    <row r="59" spans="1:8" s="66" customFormat="1" ht="18" customHeight="1" x14ac:dyDescent="0.3">
      <c r="A59" s="67">
        <v>3279</v>
      </c>
      <c r="B59" s="68" t="s">
        <v>2083</v>
      </c>
      <c r="C59" s="69" t="s">
        <v>891</v>
      </c>
      <c r="D59" s="67" t="s">
        <v>1154</v>
      </c>
      <c r="E59" s="67" t="s">
        <v>473</v>
      </c>
      <c r="F59" s="67" t="s">
        <v>2088</v>
      </c>
      <c r="G59" s="67" t="s">
        <v>2108</v>
      </c>
      <c r="H59" s="65" t="s">
        <v>1168</v>
      </c>
    </row>
    <row r="60" spans="1:8" s="66" customFormat="1" ht="18" customHeight="1" x14ac:dyDescent="0.3">
      <c r="A60" s="67">
        <v>3279</v>
      </c>
      <c r="B60" s="68" t="s">
        <v>2083</v>
      </c>
      <c r="C60" s="67" t="s">
        <v>891</v>
      </c>
      <c r="D60" s="67" t="s">
        <v>1154</v>
      </c>
      <c r="E60" s="67" t="s">
        <v>473</v>
      </c>
      <c r="F60" s="67" t="s">
        <v>2088</v>
      </c>
      <c r="G60" s="67" t="s">
        <v>2108</v>
      </c>
      <c r="H60" s="65" t="s">
        <v>1168</v>
      </c>
    </row>
    <row r="61" spans="1:8" s="66" customFormat="1" ht="18" customHeight="1" x14ac:dyDescent="0.3">
      <c r="A61" s="63">
        <v>3280</v>
      </c>
      <c r="B61" s="64" t="s">
        <v>517</v>
      </c>
      <c r="C61" s="65" t="s">
        <v>891</v>
      </c>
      <c r="D61" s="65" t="s">
        <v>1154</v>
      </c>
      <c r="E61" s="65" t="s">
        <v>1</v>
      </c>
      <c r="F61" s="65" t="s">
        <v>1232</v>
      </c>
      <c r="G61" s="65" t="s">
        <v>17</v>
      </c>
      <c r="H61" s="65" t="s">
        <v>1212</v>
      </c>
    </row>
    <row r="62" spans="1:8" s="66" customFormat="1" ht="18" customHeight="1" x14ac:dyDescent="0.3">
      <c r="A62" s="63">
        <v>3290</v>
      </c>
      <c r="B62" s="64" t="s">
        <v>518</v>
      </c>
      <c r="C62" s="65" t="s">
        <v>891</v>
      </c>
      <c r="D62" s="65" t="s">
        <v>1154</v>
      </c>
      <c r="E62" s="65" t="s">
        <v>473</v>
      </c>
      <c r="F62" s="65" t="s">
        <v>1233</v>
      </c>
      <c r="G62" s="65" t="s">
        <v>0</v>
      </c>
      <c r="H62" s="65" t="s">
        <v>1156</v>
      </c>
    </row>
    <row r="63" spans="1:8" s="66" customFormat="1" ht="18" customHeight="1" x14ac:dyDescent="0.3">
      <c r="A63" s="67">
        <v>3298</v>
      </c>
      <c r="B63" s="68" t="s">
        <v>2084</v>
      </c>
      <c r="C63" s="69" t="s">
        <v>891</v>
      </c>
      <c r="D63" s="67" t="s">
        <v>1154</v>
      </c>
      <c r="E63" s="67" t="s">
        <v>1</v>
      </c>
      <c r="F63" s="67" t="s">
        <v>2089</v>
      </c>
      <c r="G63" s="67" t="s">
        <v>2108</v>
      </c>
      <c r="H63" s="65" t="s">
        <v>1168</v>
      </c>
    </row>
    <row r="64" spans="1:8" s="66" customFormat="1" ht="18" customHeight="1" x14ac:dyDescent="0.3">
      <c r="A64" s="67">
        <v>3298</v>
      </c>
      <c r="B64" s="68" t="s">
        <v>2084</v>
      </c>
      <c r="C64" s="67" t="s">
        <v>891</v>
      </c>
      <c r="D64" s="67" t="s">
        <v>1154</v>
      </c>
      <c r="E64" s="67" t="s">
        <v>1</v>
      </c>
      <c r="F64" s="67" t="s">
        <v>2089</v>
      </c>
      <c r="G64" s="67" t="s">
        <v>2108</v>
      </c>
      <c r="H64" s="65" t="s">
        <v>1168</v>
      </c>
    </row>
    <row r="65" spans="1:8" s="66" customFormat="1" ht="18" customHeight="1" x14ac:dyDescent="0.3">
      <c r="A65" s="63">
        <v>3320</v>
      </c>
      <c r="B65" s="64" t="s">
        <v>519</v>
      </c>
      <c r="C65" s="65" t="s">
        <v>891</v>
      </c>
      <c r="D65" s="65" t="s">
        <v>1154</v>
      </c>
      <c r="E65" s="65" t="s">
        <v>473</v>
      </c>
      <c r="F65" s="65" t="s">
        <v>1234</v>
      </c>
      <c r="G65" s="65" t="s">
        <v>0</v>
      </c>
      <c r="H65" s="65" t="s">
        <v>1156</v>
      </c>
    </row>
    <row r="66" spans="1:8" s="66" customFormat="1" ht="18" customHeight="1" x14ac:dyDescent="0.3">
      <c r="A66" s="63">
        <v>3325</v>
      </c>
      <c r="B66" s="64" t="s">
        <v>520</v>
      </c>
      <c r="C66" s="65" t="s">
        <v>891</v>
      </c>
      <c r="D66" s="65" t="s">
        <v>1154</v>
      </c>
      <c r="E66" s="65" t="s">
        <v>2</v>
      </c>
      <c r="F66" s="65" t="s">
        <v>1235</v>
      </c>
      <c r="G66" s="65" t="s">
        <v>11</v>
      </c>
      <c r="H66" s="65" t="s">
        <v>1236</v>
      </c>
    </row>
    <row r="67" spans="1:8" s="66" customFormat="1" ht="18" customHeight="1" x14ac:dyDescent="0.3">
      <c r="A67" s="63">
        <v>3326</v>
      </c>
      <c r="B67" s="64" t="s">
        <v>521</v>
      </c>
      <c r="C67" s="65" t="s">
        <v>891</v>
      </c>
      <c r="D67" s="65" t="s">
        <v>1154</v>
      </c>
      <c r="E67" s="65" t="s">
        <v>2</v>
      </c>
      <c r="F67" s="65" t="s">
        <v>1237</v>
      </c>
      <c r="G67" s="65" t="s">
        <v>0</v>
      </c>
      <c r="H67" s="65" t="s">
        <v>1156</v>
      </c>
    </row>
    <row r="68" spans="1:8" s="66" customFormat="1" ht="18" customHeight="1" x14ac:dyDescent="0.3">
      <c r="A68" s="63">
        <v>3327</v>
      </c>
      <c r="B68" s="64" t="s">
        <v>522</v>
      </c>
      <c r="C68" s="65" t="s">
        <v>891</v>
      </c>
      <c r="D68" s="65" t="s">
        <v>1154</v>
      </c>
      <c r="E68" s="65" t="s">
        <v>473</v>
      </c>
      <c r="F68" s="65" t="s">
        <v>1238</v>
      </c>
      <c r="G68" s="65" t="s">
        <v>0</v>
      </c>
      <c r="H68" s="65" t="s">
        <v>1239</v>
      </c>
    </row>
    <row r="69" spans="1:8" s="66" customFormat="1" ht="18" customHeight="1" x14ac:dyDescent="0.3">
      <c r="A69" s="63">
        <v>3331</v>
      </c>
      <c r="B69" s="64" t="s">
        <v>523</v>
      </c>
      <c r="C69" s="65" t="s">
        <v>891</v>
      </c>
      <c r="D69" s="65" t="s">
        <v>1154</v>
      </c>
      <c r="E69" s="65" t="s">
        <v>473</v>
      </c>
      <c r="F69" s="65" t="s">
        <v>1240</v>
      </c>
      <c r="G69" s="65" t="s">
        <v>0</v>
      </c>
      <c r="H69" s="65" t="s">
        <v>1156</v>
      </c>
    </row>
    <row r="70" spans="1:8" s="66" customFormat="1" ht="18" customHeight="1" x14ac:dyDescent="0.3">
      <c r="A70" s="63">
        <v>3336</v>
      </c>
      <c r="B70" s="64" t="s">
        <v>524</v>
      </c>
      <c r="C70" s="65" t="s">
        <v>891</v>
      </c>
      <c r="D70" s="65" t="s">
        <v>1154</v>
      </c>
      <c r="E70" s="65" t="s">
        <v>1</v>
      </c>
      <c r="F70" s="65" t="s">
        <v>1241</v>
      </c>
      <c r="G70" s="65" t="s">
        <v>21</v>
      </c>
      <c r="H70" s="65" t="s">
        <v>1168</v>
      </c>
    </row>
    <row r="71" spans="1:8" s="66" customFormat="1" ht="18" customHeight="1" x14ac:dyDescent="0.3">
      <c r="A71" s="63">
        <v>3361</v>
      </c>
      <c r="B71" s="64" t="s">
        <v>525</v>
      </c>
      <c r="C71" s="65" t="s">
        <v>891</v>
      </c>
      <c r="D71" s="65" t="s">
        <v>1154</v>
      </c>
      <c r="E71" s="65" t="s">
        <v>1</v>
      </c>
      <c r="F71" s="65" t="s">
        <v>1242</v>
      </c>
      <c r="G71" s="65" t="s">
        <v>16</v>
      </c>
      <c r="H71" s="65" t="s">
        <v>1243</v>
      </c>
    </row>
    <row r="72" spans="1:8" s="66" customFormat="1" ht="18" customHeight="1" x14ac:dyDescent="0.3">
      <c r="A72" s="63">
        <v>3441</v>
      </c>
      <c r="B72" s="64" t="s">
        <v>526</v>
      </c>
      <c r="C72" s="65" t="s">
        <v>1169</v>
      </c>
      <c r="D72" s="65" t="s">
        <v>1154</v>
      </c>
      <c r="E72" s="65" t="s">
        <v>2</v>
      </c>
      <c r="F72" s="65" t="s">
        <v>1244</v>
      </c>
      <c r="G72" s="65" t="s">
        <v>6</v>
      </c>
      <c r="H72" s="65" t="s">
        <v>1190</v>
      </c>
    </row>
    <row r="73" spans="1:8" s="66" customFormat="1" ht="18" customHeight="1" x14ac:dyDescent="0.3">
      <c r="A73" s="63">
        <v>3482</v>
      </c>
      <c r="B73" s="64" t="s">
        <v>527</v>
      </c>
      <c r="C73" s="65" t="s">
        <v>891</v>
      </c>
      <c r="D73" s="65" t="s">
        <v>1154</v>
      </c>
      <c r="E73" s="65" t="s">
        <v>2</v>
      </c>
      <c r="F73" s="65" t="s">
        <v>1245</v>
      </c>
      <c r="G73" s="65" t="s">
        <v>17</v>
      </c>
      <c r="H73" s="65" t="s">
        <v>1212</v>
      </c>
    </row>
    <row r="74" spans="1:8" s="66" customFormat="1" ht="18" customHeight="1" x14ac:dyDescent="0.3">
      <c r="A74" s="63">
        <v>3483</v>
      </c>
      <c r="B74" s="64" t="s">
        <v>528</v>
      </c>
      <c r="C74" s="65" t="s">
        <v>891</v>
      </c>
      <c r="D74" s="65" t="s">
        <v>1154</v>
      </c>
      <c r="E74" s="65" t="s">
        <v>482</v>
      </c>
      <c r="F74" s="65" t="s">
        <v>1246</v>
      </c>
      <c r="G74" s="65" t="s">
        <v>17</v>
      </c>
      <c r="H74" s="65" t="s">
        <v>1247</v>
      </c>
    </row>
    <row r="75" spans="1:8" s="66" customFormat="1" ht="18" customHeight="1" x14ac:dyDescent="0.3">
      <c r="A75" s="63">
        <v>3484</v>
      </c>
      <c r="B75" s="64" t="s">
        <v>529</v>
      </c>
      <c r="C75" s="65" t="s">
        <v>891</v>
      </c>
      <c r="D75" s="65" t="s">
        <v>1154</v>
      </c>
      <c r="E75" s="65" t="s">
        <v>2</v>
      </c>
      <c r="F75" s="65" t="s">
        <v>1248</v>
      </c>
      <c r="G75" s="65" t="s">
        <v>17</v>
      </c>
      <c r="H75" s="65" t="s">
        <v>1247</v>
      </c>
    </row>
    <row r="76" spans="1:8" s="66" customFormat="1" ht="18" customHeight="1" x14ac:dyDescent="0.3">
      <c r="A76" s="63">
        <v>3485</v>
      </c>
      <c r="B76" s="64" t="s">
        <v>530</v>
      </c>
      <c r="C76" s="65" t="s">
        <v>891</v>
      </c>
      <c r="D76" s="65" t="s">
        <v>1154</v>
      </c>
      <c r="E76" s="65" t="s">
        <v>473</v>
      </c>
      <c r="F76" s="65" t="s">
        <v>1249</v>
      </c>
      <c r="G76" s="65" t="s">
        <v>17</v>
      </c>
      <c r="H76" s="65" t="s">
        <v>1212</v>
      </c>
    </row>
    <row r="77" spans="1:8" s="66" customFormat="1" ht="18" customHeight="1" x14ac:dyDescent="0.3">
      <c r="A77" s="63">
        <v>3572</v>
      </c>
      <c r="B77" s="64" t="s">
        <v>531</v>
      </c>
      <c r="C77" s="65" t="s">
        <v>891</v>
      </c>
      <c r="D77" s="65" t="s">
        <v>1154</v>
      </c>
      <c r="E77" s="65" t="s">
        <v>1</v>
      </c>
      <c r="F77" s="65" t="s">
        <v>1250</v>
      </c>
      <c r="G77" s="65" t="s">
        <v>5</v>
      </c>
      <c r="H77" s="65" t="s">
        <v>1168</v>
      </c>
    </row>
    <row r="78" spans="1:8" s="66" customFormat="1" ht="18" customHeight="1" x14ac:dyDescent="0.3">
      <c r="A78" s="63">
        <v>3577</v>
      </c>
      <c r="B78" s="64" t="s">
        <v>532</v>
      </c>
      <c r="C78" s="65" t="s">
        <v>891</v>
      </c>
      <c r="D78" s="65" t="s">
        <v>4</v>
      </c>
      <c r="E78" s="65" t="s">
        <v>4</v>
      </c>
      <c r="F78" s="65" t="s">
        <v>1251</v>
      </c>
      <c r="G78" s="65" t="s">
        <v>3</v>
      </c>
      <c r="H78" s="65" t="s">
        <v>1164</v>
      </c>
    </row>
    <row r="79" spans="1:8" s="66" customFormat="1" ht="18" customHeight="1" x14ac:dyDescent="0.3">
      <c r="A79" s="63">
        <v>3588</v>
      </c>
      <c r="B79" s="64" t="s">
        <v>533</v>
      </c>
      <c r="C79" s="65" t="s">
        <v>891</v>
      </c>
      <c r="D79" s="65" t="s">
        <v>1154</v>
      </c>
      <c r="E79" s="65" t="s">
        <v>1</v>
      </c>
      <c r="F79" s="65" t="s">
        <v>1252</v>
      </c>
      <c r="G79" s="65" t="s">
        <v>0</v>
      </c>
      <c r="H79" s="65" t="s">
        <v>1156</v>
      </c>
    </row>
    <row r="80" spans="1:8" s="66" customFormat="1" ht="18" customHeight="1" x14ac:dyDescent="0.3">
      <c r="A80" s="63">
        <v>3646</v>
      </c>
      <c r="B80" s="64" t="s">
        <v>535</v>
      </c>
      <c r="C80" s="65" t="s">
        <v>891</v>
      </c>
      <c r="D80" s="65" t="s">
        <v>1154</v>
      </c>
      <c r="E80" s="65" t="s">
        <v>482</v>
      </c>
      <c r="F80" s="65" t="s">
        <v>1253</v>
      </c>
      <c r="G80" s="65" t="s">
        <v>0</v>
      </c>
      <c r="H80" s="65" t="s">
        <v>1156</v>
      </c>
    </row>
    <row r="81" spans="1:8" s="66" customFormat="1" ht="18" customHeight="1" x14ac:dyDescent="0.3">
      <c r="A81" s="63">
        <v>3691</v>
      </c>
      <c r="B81" s="64" t="s">
        <v>536</v>
      </c>
      <c r="C81" s="65" t="s">
        <v>891</v>
      </c>
      <c r="D81" s="65" t="s">
        <v>537</v>
      </c>
      <c r="E81" s="65" t="s">
        <v>537</v>
      </c>
      <c r="F81" s="65" t="s">
        <v>1254</v>
      </c>
      <c r="G81" s="65" t="s">
        <v>0</v>
      </c>
      <c r="H81" s="65" t="s">
        <v>1156</v>
      </c>
    </row>
    <row r="82" spans="1:8" s="66" customFormat="1" ht="18" customHeight="1" x14ac:dyDescent="0.3">
      <c r="A82" s="63">
        <v>3760</v>
      </c>
      <c r="B82" s="64" t="s">
        <v>538</v>
      </c>
      <c r="C82" s="65" t="s">
        <v>1169</v>
      </c>
      <c r="D82" s="65" t="s">
        <v>1154</v>
      </c>
      <c r="E82" s="65" t="s">
        <v>473</v>
      </c>
      <c r="F82" s="65" t="s">
        <v>1255</v>
      </c>
      <c r="G82" s="65" t="s">
        <v>155</v>
      </c>
      <c r="H82" s="65" t="s">
        <v>1256</v>
      </c>
    </row>
    <row r="83" spans="1:8" s="66" customFormat="1" ht="18" customHeight="1" x14ac:dyDescent="0.3">
      <c r="A83" s="63">
        <v>3807</v>
      </c>
      <c r="B83" s="64" t="s">
        <v>539</v>
      </c>
      <c r="C83" s="65" t="s">
        <v>891</v>
      </c>
      <c r="D83" s="65" t="s">
        <v>1154</v>
      </c>
      <c r="E83" s="65" t="s">
        <v>482</v>
      </c>
      <c r="F83" s="65" t="s">
        <v>1257</v>
      </c>
      <c r="G83" s="65" t="s">
        <v>15</v>
      </c>
      <c r="H83" s="65" t="s">
        <v>1258</v>
      </c>
    </row>
    <row r="84" spans="1:8" s="66" customFormat="1" ht="18" customHeight="1" x14ac:dyDescent="0.3">
      <c r="A84" s="63">
        <v>3831</v>
      </c>
      <c r="B84" s="64" t="s">
        <v>540</v>
      </c>
      <c r="C84" s="65" t="s">
        <v>891</v>
      </c>
      <c r="D84" s="65" t="s">
        <v>1154</v>
      </c>
      <c r="E84" s="65" t="s">
        <v>473</v>
      </c>
      <c r="F84" s="65" t="s">
        <v>1259</v>
      </c>
      <c r="G84" s="65" t="s">
        <v>11</v>
      </c>
      <c r="H84" s="65" t="s">
        <v>1260</v>
      </c>
    </row>
    <row r="85" spans="1:8" s="66" customFormat="1" ht="18" customHeight="1" x14ac:dyDescent="0.3">
      <c r="A85" s="63">
        <v>3832</v>
      </c>
      <c r="B85" s="64" t="s">
        <v>541</v>
      </c>
      <c r="C85" s="65" t="s">
        <v>1169</v>
      </c>
      <c r="D85" s="65" t="s">
        <v>1154</v>
      </c>
      <c r="E85" s="65" t="s">
        <v>482</v>
      </c>
      <c r="F85" s="65" t="s">
        <v>1261</v>
      </c>
      <c r="G85" s="65" t="s">
        <v>6</v>
      </c>
      <c r="H85" s="65" t="s">
        <v>1262</v>
      </c>
    </row>
    <row r="86" spans="1:8" s="66" customFormat="1" ht="18" customHeight="1" x14ac:dyDescent="0.3">
      <c r="A86" s="63">
        <v>3833</v>
      </c>
      <c r="B86" s="64" t="s">
        <v>542</v>
      </c>
      <c r="C86" s="65" t="s">
        <v>1169</v>
      </c>
      <c r="D86" s="65" t="s">
        <v>1154</v>
      </c>
      <c r="E86" s="65" t="s">
        <v>473</v>
      </c>
      <c r="F86" s="65" t="s">
        <v>1263</v>
      </c>
      <c r="G86" s="65" t="s">
        <v>6</v>
      </c>
      <c r="H86" s="65" t="s">
        <v>1190</v>
      </c>
    </row>
    <row r="87" spans="1:8" s="66" customFormat="1" ht="18" customHeight="1" x14ac:dyDescent="0.3">
      <c r="A87" s="63">
        <v>3851</v>
      </c>
      <c r="B87" s="64" t="s">
        <v>543</v>
      </c>
      <c r="C87" s="65" t="s">
        <v>891</v>
      </c>
      <c r="D87" s="65" t="s">
        <v>1220</v>
      </c>
      <c r="E87" s="65" t="s">
        <v>158</v>
      </c>
      <c r="F87" s="65" t="s">
        <v>1264</v>
      </c>
      <c r="G87" s="65" t="s">
        <v>0</v>
      </c>
      <c r="H87" s="65" t="s">
        <v>1156</v>
      </c>
    </row>
    <row r="88" spans="1:8" s="66" customFormat="1" ht="18" customHeight="1" x14ac:dyDescent="0.3">
      <c r="A88" s="63">
        <v>3854</v>
      </c>
      <c r="B88" s="64" t="s">
        <v>544</v>
      </c>
      <c r="C88" s="65" t="s">
        <v>1169</v>
      </c>
      <c r="D88" s="65" t="s">
        <v>1154</v>
      </c>
      <c r="E88" s="65" t="s">
        <v>1</v>
      </c>
      <c r="F88" s="65" t="s">
        <v>1265</v>
      </c>
      <c r="G88" s="65" t="s">
        <v>153</v>
      </c>
      <c r="H88" s="65" t="s">
        <v>1266</v>
      </c>
    </row>
    <row r="89" spans="1:8" s="66" customFormat="1" ht="18" customHeight="1" x14ac:dyDescent="0.3">
      <c r="A89" s="63">
        <v>3858</v>
      </c>
      <c r="B89" s="64" t="s">
        <v>545</v>
      </c>
      <c r="C89" s="65" t="s">
        <v>1169</v>
      </c>
      <c r="D89" s="65" t="s">
        <v>1154</v>
      </c>
      <c r="E89" s="65" t="s">
        <v>1</v>
      </c>
      <c r="F89" s="65" t="s">
        <v>1267</v>
      </c>
      <c r="G89" s="65" t="s">
        <v>153</v>
      </c>
      <c r="H89" s="65" t="s">
        <v>1268</v>
      </c>
    </row>
    <row r="90" spans="1:8" s="66" customFormat="1" ht="18" customHeight="1" x14ac:dyDescent="0.3">
      <c r="A90" s="67">
        <v>3913</v>
      </c>
      <c r="B90" s="68" t="s">
        <v>2063</v>
      </c>
      <c r="C90" s="69" t="s">
        <v>2085</v>
      </c>
      <c r="D90" s="67" t="s">
        <v>1154</v>
      </c>
      <c r="E90" s="67" t="s">
        <v>473</v>
      </c>
      <c r="F90" s="67" t="s">
        <v>2090</v>
      </c>
      <c r="G90" s="67" t="s">
        <v>2108</v>
      </c>
      <c r="H90" s="65" t="s">
        <v>2110</v>
      </c>
    </row>
    <row r="91" spans="1:8" s="66" customFormat="1" ht="18" customHeight="1" x14ac:dyDescent="0.3">
      <c r="A91" s="67">
        <v>3913</v>
      </c>
      <c r="B91" s="68" t="s">
        <v>2063</v>
      </c>
      <c r="C91" s="67" t="s">
        <v>2085</v>
      </c>
      <c r="D91" s="67" t="s">
        <v>1154</v>
      </c>
      <c r="E91" s="67" t="s">
        <v>473</v>
      </c>
      <c r="F91" s="67" t="s">
        <v>2090</v>
      </c>
      <c r="G91" s="67" t="s">
        <v>2108</v>
      </c>
      <c r="H91" s="65" t="s">
        <v>2110</v>
      </c>
    </row>
    <row r="92" spans="1:8" s="66" customFormat="1" ht="18" customHeight="1" x14ac:dyDescent="0.3">
      <c r="A92" s="63">
        <v>3914</v>
      </c>
      <c r="B92" s="64" t="s">
        <v>22</v>
      </c>
      <c r="C92" s="65" t="s">
        <v>1169</v>
      </c>
      <c r="D92" s="65" t="s">
        <v>1154</v>
      </c>
      <c r="E92" s="65" t="s">
        <v>473</v>
      </c>
      <c r="F92" s="65" t="s">
        <v>1269</v>
      </c>
      <c r="G92" s="65" t="s">
        <v>6</v>
      </c>
      <c r="H92" s="65" t="s">
        <v>1190</v>
      </c>
    </row>
    <row r="93" spans="1:8" s="66" customFormat="1" ht="18" customHeight="1" x14ac:dyDescent="0.3">
      <c r="A93" s="63">
        <v>3916</v>
      </c>
      <c r="B93" s="64" t="s">
        <v>546</v>
      </c>
      <c r="C93" s="65" t="s">
        <v>891</v>
      </c>
      <c r="D93" s="65" t="s">
        <v>1154</v>
      </c>
      <c r="E93" s="65" t="s">
        <v>473</v>
      </c>
      <c r="F93" s="65" t="s">
        <v>1270</v>
      </c>
      <c r="G93" s="65" t="s">
        <v>17</v>
      </c>
      <c r="H93" s="65" t="s">
        <v>1212</v>
      </c>
    </row>
    <row r="94" spans="1:8" s="66" customFormat="1" ht="18" customHeight="1" x14ac:dyDescent="0.3">
      <c r="A94" s="63">
        <v>4044</v>
      </c>
      <c r="B94" s="64" t="s">
        <v>547</v>
      </c>
      <c r="C94" s="65" t="s">
        <v>891</v>
      </c>
      <c r="D94" s="65" t="s">
        <v>1220</v>
      </c>
      <c r="E94" s="65" t="s">
        <v>158</v>
      </c>
      <c r="F94" s="65" t="s">
        <v>1271</v>
      </c>
      <c r="G94" s="65" t="s">
        <v>16</v>
      </c>
      <c r="H94" s="65" t="s">
        <v>1207</v>
      </c>
    </row>
    <row r="95" spans="1:8" s="66" customFormat="1" ht="18" customHeight="1" x14ac:dyDescent="0.3">
      <c r="A95" s="63">
        <v>4058</v>
      </c>
      <c r="B95" s="64" t="s">
        <v>23</v>
      </c>
      <c r="C95" s="65" t="s">
        <v>1169</v>
      </c>
      <c r="D95" s="65" t="s">
        <v>1154</v>
      </c>
      <c r="E95" s="65" t="s">
        <v>482</v>
      </c>
      <c r="F95" s="65" t="s">
        <v>1272</v>
      </c>
      <c r="G95" s="65" t="s">
        <v>6</v>
      </c>
      <c r="H95" s="65" t="s">
        <v>1190</v>
      </c>
    </row>
    <row r="96" spans="1:8" s="66" customFormat="1" ht="18" customHeight="1" x14ac:dyDescent="0.3">
      <c r="A96" s="63">
        <v>4059</v>
      </c>
      <c r="B96" s="64" t="s">
        <v>548</v>
      </c>
      <c r="C96" s="65" t="s">
        <v>1169</v>
      </c>
      <c r="D96" s="65" t="s">
        <v>1220</v>
      </c>
      <c r="E96" s="65" t="s">
        <v>158</v>
      </c>
      <c r="F96" s="65" t="s">
        <v>1273</v>
      </c>
      <c r="G96" s="65" t="s">
        <v>6</v>
      </c>
      <c r="H96" s="65" t="s">
        <v>1262</v>
      </c>
    </row>
    <row r="97" spans="1:8" s="66" customFormat="1" ht="18" customHeight="1" x14ac:dyDescent="0.3">
      <c r="A97" s="63">
        <v>4097</v>
      </c>
      <c r="B97" s="64" t="s">
        <v>159</v>
      </c>
      <c r="C97" s="65" t="s">
        <v>891</v>
      </c>
      <c r="D97" s="65" t="s">
        <v>549</v>
      </c>
      <c r="E97" s="65" t="s">
        <v>549</v>
      </c>
      <c r="F97" s="65" t="s">
        <v>1274</v>
      </c>
      <c r="G97" s="65" t="s">
        <v>0</v>
      </c>
      <c r="H97" s="65" t="s">
        <v>1156</v>
      </c>
    </row>
    <row r="98" spans="1:8" s="66" customFormat="1" ht="18" customHeight="1" x14ac:dyDescent="0.3">
      <c r="A98" s="63">
        <v>4099</v>
      </c>
      <c r="B98" s="64" t="s">
        <v>550</v>
      </c>
      <c r="C98" s="65" t="s">
        <v>891</v>
      </c>
      <c r="D98" s="65" t="s">
        <v>1154</v>
      </c>
      <c r="E98" s="65" t="s">
        <v>473</v>
      </c>
      <c r="F98" s="65" t="s">
        <v>1275</v>
      </c>
      <c r="G98" s="65" t="s">
        <v>0</v>
      </c>
      <c r="H98" s="65" t="s">
        <v>1156</v>
      </c>
    </row>
    <row r="99" spans="1:8" s="66" customFormat="1" ht="18" customHeight="1" x14ac:dyDescent="0.3">
      <c r="A99" s="63">
        <v>4101</v>
      </c>
      <c r="B99" s="64" t="s">
        <v>551</v>
      </c>
      <c r="C99" s="65" t="s">
        <v>1169</v>
      </c>
      <c r="D99" s="65" t="s">
        <v>1154</v>
      </c>
      <c r="E99" s="65" t="s">
        <v>1</v>
      </c>
      <c r="F99" s="65" t="s">
        <v>1276</v>
      </c>
      <c r="G99" s="65" t="s">
        <v>152</v>
      </c>
      <c r="H99" s="65" t="s">
        <v>1277</v>
      </c>
    </row>
    <row r="100" spans="1:8" s="66" customFormat="1" ht="18" customHeight="1" x14ac:dyDescent="0.3">
      <c r="A100" s="63">
        <v>4130</v>
      </c>
      <c r="B100" s="64" t="s">
        <v>552</v>
      </c>
      <c r="C100" s="65" t="s">
        <v>1169</v>
      </c>
      <c r="D100" s="65" t="s">
        <v>1154</v>
      </c>
      <c r="E100" s="65" t="s">
        <v>1</v>
      </c>
      <c r="F100" s="65" t="s">
        <v>1278</v>
      </c>
      <c r="G100" s="65" t="s">
        <v>6</v>
      </c>
      <c r="H100" s="65" t="s">
        <v>1262</v>
      </c>
    </row>
    <row r="101" spans="1:8" s="66" customFormat="1" ht="18" customHeight="1" x14ac:dyDescent="0.3">
      <c r="A101" s="63">
        <v>4131</v>
      </c>
      <c r="B101" s="64" t="s">
        <v>553</v>
      </c>
      <c r="C101" s="65" t="s">
        <v>891</v>
      </c>
      <c r="D101" s="65" t="s">
        <v>1154</v>
      </c>
      <c r="E101" s="65" t="s">
        <v>2</v>
      </c>
      <c r="F101" s="65" t="s">
        <v>1279</v>
      </c>
      <c r="G101" s="65" t="s">
        <v>17</v>
      </c>
      <c r="H101" s="65" t="s">
        <v>1247</v>
      </c>
    </row>
    <row r="102" spans="1:8" s="66" customFormat="1" ht="18" customHeight="1" x14ac:dyDescent="0.3">
      <c r="A102" s="63">
        <v>4143</v>
      </c>
      <c r="B102" s="64" t="s">
        <v>160</v>
      </c>
      <c r="C102" s="65" t="s">
        <v>891</v>
      </c>
      <c r="D102" s="65" t="s">
        <v>549</v>
      </c>
      <c r="E102" s="65" t="s">
        <v>549</v>
      </c>
      <c r="F102" s="65" t="s">
        <v>1280</v>
      </c>
      <c r="G102" s="65" t="s">
        <v>0</v>
      </c>
      <c r="H102" s="65" t="s">
        <v>1156</v>
      </c>
    </row>
    <row r="103" spans="1:8" s="66" customFormat="1" ht="18" customHeight="1" x14ac:dyDescent="0.3">
      <c r="A103" s="63">
        <v>4149</v>
      </c>
      <c r="B103" s="64" t="s">
        <v>554</v>
      </c>
      <c r="C103" s="65" t="s">
        <v>891</v>
      </c>
      <c r="D103" s="65" t="s">
        <v>1220</v>
      </c>
      <c r="E103" s="65" t="s">
        <v>158</v>
      </c>
      <c r="F103" s="65" t="s">
        <v>1281</v>
      </c>
      <c r="G103" s="65" t="s">
        <v>3</v>
      </c>
      <c r="H103" s="65" t="s">
        <v>1164</v>
      </c>
    </row>
    <row r="104" spans="1:8" s="66" customFormat="1" ht="18" customHeight="1" x14ac:dyDescent="0.3">
      <c r="A104" s="63">
        <v>4156</v>
      </c>
      <c r="B104" s="64" t="s">
        <v>555</v>
      </c>
      <c r="C104" s="65" t="s">
        <v>891</v>
      </c>
      <c r="D104" s="65" t="s">
        <v>1220</v>
      </c>
      <c r="E104" s="65" t="s">
        <v>158</v>
      </c>
      <c r="F104" s="65" t="s">
        <v>1282</v>
      </c>
      <c r="G104" s="65" t="s">
        <v>9</v>
      </c>
      <c r="H104" s="65" t="s">
        <v>1283</v>
      </c>
    </row>
    <row r="105" spans="1:8" s="66" customFormat="1" ht="18" customHeight="1" x14ac:dyDescent="0.3">
      <c r="A105" s="63">
        <v>4158</v>
      </c>
      <c r="B105" s="64" t="s">
        <v>730</v>
      </c>
      <c r="C105" s="65" t="s">
        <v>891</v>
      </c>
      <c r="D105" s="65" t="s">
        <v>1220</v>
      </c>
      <c r="E105" s="65" t="s">
        <v>158</v>
      </c>
      <c r="F105" s="65" t="s">
        <v>1284</v>
      </c>
      <c r="G105" s="65" t="s">
        <v>17</v>
      </c>
      <c r="H105" s="65" t="s">
        <v>1247</v>
      </c>
    </row>
    <row r="106" spans="1:8" s="66" customFormat="1" ht="18" customHeight="1" x14ac:dyDescent="0.3">
      <c r="A106" s="63">
        <v>4159</v>
      </c>
      <c r="B106" s="64" t="s">
        <v>556</v>
      </c>
      <c r="C106" s="65" t="s">
        <v>1169</v>
      </c>
      <c r="D106" s="65" t="s">
        <v>1220</v>
      </c>
      <c r="E106" s="65" t="s">
        <v>158</v>
      </c>
      <c r="F106" s="65" t="s">
        <v>1285</v>
      </c>
      <c r="G106" s="65" t="s">
        <v>6</v>
      </c>
      <c r="H106" s="65" t="s">
        <v>1262</v>
      </c>
    </row>
    <row r="107" spans="1:8" s="66" customFormat="1" ht="18" customHeight="1" x14ac:dyDescent="0.3">
      <c r="A107" s="63">
        <v>4174</v>
      </c>
      <c r="B107" s="64" t="s">
        <v>557</v>
      </c>
      <c r="C107" s="65" t="s">
        <v>891</v>
      </c>
      <c r="D107" s="65" t="s">
        <v>1154</v>
      </c>
      <c r="E107" s="65" t="s">
        <v>2</v>
      </c>
      <c r="F107" s="65" t="s">
        <v>1286</v>
      </c>
      <c r="G107" s="65" t="s">
        <v>10</v>
      </c>
      <c r="H107" s="65" t="s">
        <v>1168</v>
      </c>
    </row>
    <row r="108" spans="1:8" s="66" customFormat="1" ht="18" customHeight="1" x14ac:dyDescent="0.3">
      <c r="A108" s="63">
        <v>4185</v>
      </c>
      <c r="B108" s="64" t="s">
        <v>558</v>
      </c>
      <c r="C108" s="65" t="s">
        <v>891</v>
      </c>
      <c r="D108" s="65" t="s">
        <v>1154</v>
      </c>
      <c r="E108" s="65" t="s">
        <v>1</v>
      </c>
      <c r="F108" s="65" t="s">
        <v>1287</v>
      </c>
      <c r="G108" s="65" t="s">
        <v>9</v>
      </c>
      <c r="H108" s="65" t="s">
        <v>1283</v>
      </c>
    </row>
    <row r="109" spans="1:8" s="66" customFormat="1" ht="18" customHeight="1" x14ac:dyDescent="0.3">
      <c r="A109" s="63">
        <v>4209</v>
      </c>
      <c r="B109" s="64" t="s">
        <v>559</v>
      </c>
      <c r="C109" s="65" t="s">
        <v>891</v>
      </c>
      <c r="D109" s="65" t="s">
        <v>1220</v>
      </c>
      <c r="E109" s="65" t="s">
        <v>158</v>
      </c>
      <c r="F109" s="65" t="s">
        <v>1288</v>
      </c>
      <c r="G109" s="65" t="s">
        <v>0</v>
      </c>
      <c r="H109" s="65" t="s">
        <v>1156</v>
      </c>
    </row>
    <row r="110" spans="1:8" s="66" customFormat="1" ht="18" customHeight="1" x14ac:dyDescent="0.3">
      <c r="A110" s="63">
        <v>4212</v>
      </c>
      <c r="B110" s="64" t="s">
        <v>560</v>
      </c>
      <c r="C110" s="65" t="s">
        <v>891</v>
      </c>
      <c r="D110" s="65" t="s">
        <v>1220</v>
      </c>
      <c r="E110" s="65" t="s">
        <v>158</v>
      </c>
      <c r="F110" s="65" t="s">
        <v>1289</v>
      </c>
      <c r="G110" s="65" t="s">
        <v>17</v>
      </c>
      <c r="H110" s="65" t="s">
        <v>1247</v>
      </c>
    </row>
    <row r="111" spans="1:8" s="66" customFormat="1" ht="18" customHeight="1" x14ac:dyDescent="0.3">
      <c r="A111" s="63">
        <v>4237</v>
      </c>
      <c r="B111" s="64" t="s">
        <v>561</v>
      </c>
      <c r="C111" s="65" t="s">
        <v>891</v>
      </c>
      <c r="D111" s="65" t="s">
        <v>1220</v>
      </c>
      <c r="E111" s="65" t="s">
        <v>158</v>
      </c>
      <c r="F111" s="65" t="s">
        <v>1290</v>
      </c>
      <c r="G111" s="65" t="s">
        <v>16</v>
      </c>
      <c r="H111" s="65" t="s">
        <v>1236</v>
      </c>
    </row>
    <row r="112" spans="1:8" s="66" customFormat="1" ht="18" customHeight="1" x14ac:dyDescent="0.3">
      <c r="A112" s="63">
        <v>4280</v>
      </c>
      <c r="B112" s="64" t="s">
        <v>435</v>
      </c>
      <c r="C112" s="65" t="s">
        <v>891</v>
      </c>
      <c r="D112" s="65" t="s">
        <v>1220</v>
      </c>
      <c r="E112" s="65" t="s">
        <v>158</v>
      </c>
      <c r="F112" s="65" t="s">
        <v>1291</v>
      </c>
      <c r="G112" s="65" t="s">
        <v>11</v>
      </c>
      <c r="H112" s="65" t="s">
        <v>1236</v>
      </c>
    </row>
    <row r="113" spans="1:8" s="66" customFormat="1" ht="18" customHeight="1" x14ac:dyDescent="0.3">
      <c r="A113" s="63">
        <v>4294</v>
      </c>
      <c r="B113" s="64" t="s">
        <v>562</v>
      </c>
      <c r="C113" s="65" t="s">
        <v>891</v>
      </c>
      <c r="D113" s="65" t="s">
        <v>1220</v>
      </c>
      <c r="E113" s="65" t="s">
        <v>158</v>
      </c>
      <c r="F113" s="65" t="s">
        <v>1292</v>
      </c>
      <c r="G113" s="65" t="s">
        <v>0</v>
      </c>
      <c r="H113" s="65" t="s">
        <v>1156</v>
      </c>
    </row>
    <row r="114" spans="1:8" s="66" customFormat="1" ht="18" customHeight="1" x14ac:dyDescent="0.3">
      <c r="A114" s="63">
        <v>4295</v>
      </c>
      <c r="B114" s="64" t="s">
        <v>563</v>
      </c>
      <c r="C114" s="65" t="s">
        <v>891</v>
      </c>
      <c r="D114" s="65" t="s">
        <v>1220</v>
      </c>
      <c r="E114" s="65" t="s">
        <v>158</v>
      </c>
      <c r="F114" s="65" t="s">
        <v>1293</v>
      </c>
      <c r="G114" s="65" t="s">
        <v>0</v>
      </c>
      <c r="H114" s="65" t="s">
        <v>1156</v>
      </c>
    </row>
    <row r="115" spans="1:8" s="66" customFormat="1" ht="18" customHeight="1" x14ac:dyDescent="0.3">
      <c r="A115" s="63">
        <v>4309</v>
      </c>
      <c r="B115" s="64" t="s">
        <v>564</v>
      </c>
      <c r="C115" s="65" t="s">
        <v>891</v>
      </c>
      <c r="D115" s="65" t="s">
        <v>1154</v>
      </c>
      <c r="E115" s="65" t="s">
        <v>1</v>
      </c>
      <c r="F115" s="65" t="s">
        <v>1294</v>
      </c>
      <c r="G115" s="65" t="s">
        <v>24</v>
      </c>
      <c r="H115" s="65" t="s">
        <v>1168</v>
      </c>
    </row>
    <row r="116" spans="1:8" s="66" customFormat="1" ht="18" customHeight="1" x14ac:dyDescent="0.3">
      <c r="A116" s="63">
        <v>4310</v>
      </c>
      <c r="B116" s="64" t="s">
        <v>565</v>
      </c>
      <c r="C116" s="65" t="s">
        <v>1169</v>
      </c>
      <c r="D116" s="65" t="s">
        <v>1220</v>
      </c>
      <c r="E116" s="65" t="s">
        <v>158</v>
      </c>
      <c r="F116" s="65" t="s">
        <v>1295</v>
      </c>
      <c r="G116" s="65" t="s">
        <v>155</v>
      </c>
      <c r="H116" s="65" t="s">
        <v>1256</v>
      </c>
    </row>
    <row r="117" spans="1:8" s="66" customFormat="1" ht="18" customHeight="1" x14ac:dyDescent="0.3">
      <c r="A117" s="63">
        <v>4312</v>
      </c>
      <c r="B117" s="64" t="s">
        <v>566</v>
      </c>
      <c r="C117" s="65" t="s">
        <v>1169</v>
      </c>
      <c r="D117" s="65" t="s">
        <v>1154</v>
      </c>
      <c r="E117" s="65" t="s">
        <v>482</v>
      </c>
      <c r="F117" s="65" t="s">
        <v>1296</v>
      </c>
      <c r="G117" s="65" t="s">
        <v>152</v>
      </c>
      <c r="H117" s="65" t="s">
        <v>1297</v>
      </c>
    </row>
    <row r="118" spans="1:8" s="66" customFormat="1" ht="18" customHeight="1" x14ac:dyDescent="0.3">
      <c r="A118" s="63">
        <v>4320</v>
      </c>
      <c r="B118" s="64" t="s">
        <v>25</v>
      </c>
      <c r="C118" s="65" t="s">
        <v>891</v>
      </c>
      <c r="D118" s="65" t="s">
        <v>1154</v>
      </c>
      <c r="E118" s="65" t="s">
        <v>482</v>
      </c>
      <c r="F118" s="65" t="s">
        <v>1298</v>
      </c>
      <c r="G118" s="65" t="s">
        <v>21</v>
      </c>
      <c r="H118" s="65" t="s">
        <v>1168</v>
      </c>
    </row>
    <row r="119" spans="1:8" s="66" customFormat="1" ht="18" customHeight="1" x14ac:dyDescent="0.3">
      <c r="A119" s="63">
        <v>4321</v>
      </c>
      <c r="B119" s="64" t="s">
        <v>567</v>
      </c>
      <c r="C119" s="65" t="s">
        <v>891</v>
      </c>
      <c r="D119" s="65" t="s">
        <v>1154</v>
      </c>
      <c r="E119" s="65" t="s">
        <v>473</v>
      </c>
      <c r="F119" s="65" t="s">
        <v>1299</v>
      </c>
      <c r="G119" s="65" t="s">
        <v>21</v>
      </c>
      <c r="H119" s="65" t="s">
        <v>1168</v>
      </c>
    </row>
    <row r="120" spans="1:8" s="66" customFormat="1" ht="18" customHeight="1" x14ac:dyDescent="0.3">
      <c r="A120" s="63">
        <v>4325</v>
      </c>
      <c r="B120" s="64" t="s">
        <v>568</v>
      </c>
      <c r="C120" s="65" t="s">
        <v>891</v>
      </c>
      <c r="D120" s="65" t="s">
        <v>1154</v>
      </c>
      <c r="E120" s="65" t="s">
        <v>1</v>
      </c>
      <c r="F120" s="65" t="s">
        <v>1300</v>
      </c>
      <c r="G120" s="65" t="s">
        <v>20</v>
      </c>
      <c r="H120" s="65" t="s">
        <v>1168</v>
      </c>
    </row>
    <row r="121" spans="1:8" s="66" customFormat="1" ht="18" customHeight="1" x14ac:dyDescent="0.3">
      <c r="A121" s="63">
        <v>4327</v>
      </c>
      <c r="B121" s="64" t="s">
        <v>569</v>
      </c>
      <c r="C121" s="65" t="s">
        <v>1169</v>
      </c>
      <c r="D121" s="65" t="s">
        <v>1220</v>
      </c>
      <c r="E121" s="65" t="s">
        <v>158</v>
      </c>
      <c r="F121" s="65" t="s">
        <v>1301</v>
      </c>
      <c r="G121" s="65" t="s">
        <v>6</v>
      </c>
      <c r="H121" s="65" t="s">
        <v>1262</v>
      </c>
    </row>
    <row r="122" spans="1:8" s="66" customFormat="1" ht="18" customHeight="1" x14ac:dyDescent="0.3">
      <c r="A122" s="63">
        <v>4328</v>
      </c>
      <c r="B122" s="64" t="s">
        <v>570</v>
      </c>
      <c r="C122" s="65" t="s">
        <v>1169</v>
      </c>
      <c r="D122" s="65" t="s">
        <v>1220</v>
      </c>
      <c r="E122" s="65" t="s">
        <v>158</v>
      </c>
      <c r="F122" s="65" t="s">
        <v>1302</v>
      </c>
      <c r="G122" s="65" t="s">
        <v>6</v>
      </c>
      <c r="H122" s="65" t="s">
        <v>1171</v>
      </c>
    </row>
    <row r="123" spans="1:8" s="66" customFormat="1" ht="18" customHeight="1" x14ac:dyDescent="0.3">
      <c r="A123" s="63">
        <v>4386</v>
      </c>
      <c r="B123" s="64" t="s">
        <v>571</v>
      </c>
      <c r="C123" s="65" t="s">
        <v>891</v>
      </c>
      <c r="D123" s="65" t="s">
        <v>1154</v>
      </c>
      <c r="E123" s="65" t="s">
        <v>1</v>
      </c>
      <c r="F123" s="65" t="s">
        <v>1303</v>
      </c>
      <c r="G123" s="65" t="s">
        <v>0</v>
      </c>
      <c r="H123" s="65" t="s">
        <v>1183</v>
      </c>
    </row>
    <row r="124" spans="1:8" s="66" customFormat="1" ht="18" customHeight="1" x14ac:dyDescent="0.3">
      <c r="A124" s="63">
        <v>4413</v>
      </c>
      <c r="B124" s="64" t="s">
        <v>1024</v>
      </c>
      <c r="C124" s="65" t="s">
        <v>891</v>
      </c>
      <c r="D124" s="65" t="s">
        <v>1220</v>
      </c>
      <c r="E124" s="65" t="s">
        <v>1025</v>
      </c>
      <c r="F124" s="65" t="s">
        <v>1304</v>
      </c>
      <c r="G124" s="65" t="s">
        <v>0</v>
      </c>
      <c r="H124" s="65" t="s">
        <v>1305</v>
      </c>
    </row>
    <row r="125" spans="1:8" s="66" customFormat="1" ht="18" customHeight="1" x14ac:dyDescent="0.3">
      <c r="A125" s="63">
        <v>4427</v>
      </c>
      <c r="B125" s="64" t="s">
        <v>572</v>
      </c>
      <c r="C125" s="65" t="s">
        <v>1169</v>
      </c>
      <c r="D125" s="65" t="s">
        <v>1220</v>
      </c>
      <c r="E125" s="65" t="s">
        <v>158</v>
      </c>
      <c r="F125" s="65" t="s">
        <v>1306</v>
      </c>
      <c r="G125" s="65" t="s">
        <v>6</v>
      </c>
      <c r="H125" s="65" t="s">
        <v>1262</v>
      </c>
    </row>
    <row r="126" spans="1:8" s="66" customFormat="1" ht="18" customHeight="1" x14ac:dyDescent="0.3">
      <c r="A126" s="63">
        <v>4431</v>
      </c>
      <c r="B126" s="64" t="s">
        <v>573</v>
      </c>
      <c r="C126" s="65" t="s">
        <v>891</v>
      </c>
      <c r="D126" s="65" t="s">
        <v>1220</v>
      </c>
      <c r="E126" s="65" t="s">
        <v>158</v>
      </c>
      <c r="F126" s="65" t="s">
        <v>1307</v>
      </c>
      <c r="G126" s="65" t="s">
        <v>17</v>
      </c>
      <c r="H126" s="65" t="s">
        <v>1212</v>
      </c>
    </row>
    <row r="127" spans="1:8" s="66" customFormat="1" ht="18" customHeight="1" x14ac:dyDescent="0.3">
      <c r="A127" s="63">
        <v>4465</v>
      </c>
      <c r="B127" s="64" t="s">
        <v>574</v>
      </c>
      <c r="C127" s="65" t="s">
        <v>891</v>
      </c>
      <c r="D127" s="65" t="s">
        <v>1220</v>
      </c>
      <c r="E127" s="65" t="s">
        <v>158</v>
      </c>
      <c r="F127" s="65" t="s">
        <v>1308</v>
      </c>
      <c r="G127" s="65" t="s">
        <v>0</v>
      </c>
      <c r="H127" s="65" t="s">
        <v>1156</v>
      </c>
    </row>
    <row r="128" spans="1:8" s="66" customFormat="1" ht="18" customHeight="1" x14ac:dyDescent="0.3">
      <c r="A128" s="63">
        <v>4473</v>
      </c>
      <c r="B128" s="64" t="s">
        <v>1026</v>
      </c>
      <c r="C128" s="65" t="s">
        <v>891</v>
      </c>
      <c r="D128" s="65" t="s">
        <v>1220</v>
      </c>
      <c r="E128" s="65" t="s">
        <v>1025</v>
      </c>
      <c r="F128" s="65" t="s">
        <v>1309</v>
      </c>
      <c r="G128" s="65" t="s">
        <v>11</v>
      </c>
      <c r="H128" s="65" t="s">
        <v>1236</v>
      </c>
    </row>
    <row r="129" spans="1:8" s="66" customFormat="1" ht="18" customHeight="1" x14ac:dyDescent="0.3">
      <c r="A129" s="63">
        <v>4476</v>
      </c>
      <c r="B129" s="64" t="s">
        <v>575</v>
      </c>
      <c r="C129" s="65" t="s">
        <v>1169</v>
      </c>
      <c r="D129" s="65" t="s">
        <v>1220</v>
      </c>
      <c r="E129" s="65" t="s">
        <v>158</v>
      </c>
      <c r="F129" s="65" t="s">
        <v>1310</v>
      </c>
      <c r="G129" s="65" t="s">
        <v>153</v>
      </c>
      <c r="H129" s="65" t="s">
        <v>1268</v>
      </c>
    </row>
    <row r="130" spans="1:8" s="66" customFormat="1" ht="18" customHeight="1" x14ac:dyDescent="0.3">
      <c r="A130" s="63">
        <v>4536</v>
      </c>
      <c r="B130" s="64" t="s">
        <v>576</v>
      </c>
      <c r="C130" s="65" t="s">
        <v>891</v>
      </c>
      <c r="D130" s="65" t="s">
        <v>1154</v>
      </c>
      <c r="E130" s="65" t="s">
        <v>2</v>
      </c>
      <c r="F130" s="65" t="s">
        <v>1311</v>
      </c>
      <c r="G130" s="65" t="s">
        <v>16</v>
      </c>
      <c r="H130" s="65" t="s">
        <v>1207</v>
      </c>
    </row>
    <row r="131" spans="1:8" s="66" customFormat="1" ht="18" customHeight="1" x14ac:dyDescent="0.3">
      <c r="A131" s="63">
        <v>4587</v>
      </c>
      <c r="B131" s="64" t="s">
        <v>577</v>
      </c>
      <c r="C131" s="65" t="s">
        <v>1169</v>
      </c>
      <c r="D131" s="65" t="s">
        <v>1154</v>
      </c>
      <c r="E131" s="65" t="s">
        <v>1</v>
      </c>
      <c r="F131" s="65" t="s">
        <v>1312</v>
      </c>
      <c r="G131" s="65" t="s">
        <v>154</v>
      </c>
      <c r="H131" s="65" t="s">
        <v>1168</v>
      </c>
    </row>
    <row r="132" spans="1:8" s="66" customFormat="1" ht="18" customHeight="1" x14ac:dyDescent="0.3">
      <c r="A132" s="63">
        <v>4607</v>
      </c>
      <c r="B132" s="64" t="s">
        <v>578</v>
      </c>
      <c r="C132" s="65" t="s">
        <v>891</v>
      </c>
      <c r="D132" s="65" t="s">
        <v>1220</v>
      </c>
      <c r="E132" s="65" t="s">
        <v>158</v>
      </c>
      <c r="F132" s="65" t="s">
        <v>1313</v>
      </c>
      <c r="G132" s="65" t="s">
        <v>16</v>
      </c>
      <c r="H132" s="65" t="s">
        <v>1207</v>
      </c>
    </row>
    <row r="133" spans="1:8" s="66" customFormat="1" ht="18" customHeight="1" x14ac:dyDescent="0.3">
      <c r="A133" s="63">
        <v>4611</v>
      </c>
      <c r="B133" s="64" t="s">
        <v>161</v>
      </c>
      <c r="C133" s="65" t="s">
        <v>891</v>
      </c>
      <c r="D133" s="65" t="s">
        <v>549</v>
      </c>
      <c r="E133" s="65" t="s">
        <v>549</v>
      </c>
      <c r="F133" s="65" t="s">
        <v>1314</v>
      </c>
      <c r="G133" s="65" t="s">
        <v>0</v>
      </c>
      <c r="H133" s="65" t="s">
        <v>1156</v>
      </c>
    </row>
    <row r="134" spans="1:8" s="66" customFormat="1" ht="18" customHeight="1" x14ac:dyDescent="0.3">
      <c r="A134" s="63">
        <v>4615</v>
      </c>
      <c r="B134" s="64" t="s">
        <v>579</v>
      </c>
      <c r="C134" s="65" t="s">
        <v>891</v>
      </c>
      <c r="D134" s="65" t="s">
        <v>1154</v>
      </c>
      <c r="E134" s="65" t="s">
        <v>482</v>
      </c>
      <c r="F134" s="65" t="s">
        <v>1315</v>
      </c>
      <c r="G134" s="65" t="s">
        <v>0</v>
      </c>
      <c r="H134" s="65" t="s">
        <v>1185</v>
      </c>
    </row>
    <row r="135" spans="1:8" s="66" customFormat="1" ht="18" customHeight="1" x14ac:dyDescent="0.3">
      <c r="A135" s="63">
        <v>4643</v>
      </c>
      <c r="B135" s="64" t="s">
        <v>580</v>
      </c>
      <c r="C135" s="65" t="s">
        <v>891</v>
      </c>
      <c r="D135" s="65" t="s">
        <v>1154</v>
      </c>
      <c r="E135" s="65" t="s">
        <v>473</v>
      </c>
      <c r="F135" s="65" t="s">
        <v>1316</v>
      </c>
      <c r="G135" s="65" t="s">
        <v>0</v>
      </c>
      <c r="H135" s="65" t="s">
        <v>1156</v>
      </c>
    </row>
    <row r="136" spans="1:8" s="66" customFormat="1" ht="18" customHeight="1" x14ac:dyDescent="0.3">
      <c r="A136" s="63">
        <v>4644</v>
      </c>
      <c r="B136" s="64" t="s">
        <v>581</v>
      </c>
      <c r="C136" s="65" t="s">
        <v>891</v>
      </c>
      <c r="D136" s="65" t="s">
        <v>1154</v>
      </c>
      <c r="E136" s="65" t="s">
        <v>1</v>
      </c>
      <c r="F136" s="65" t="s">
        <v>1317</v>
      </c>
      <c r="G136" s="65" t="s">
        <v>17</v>
      </c>
      <c r="H136" s="65" t="s">
        <v>1212</v>
      </c>
    </row>
    <row r="137" spans="1:8" s="66" customFormat="1" ht="18" customHeight="1" x14ac:dyDescent="0.3">
      <c r="A137" s="63">
        <v>4652</v>
      </c>
      <c r="B137" s="64" t="s">
        <v>436</v>
      </c>
      <c r="C137" s="65" t="s">
        <v>891</v>
      </c>
      <c r="D137" s="65" t="s">
        <v>1220</v>
      </c>
      <c r="E137" s="65" t="s">
        <v>158</v>
      </c>
      <c r="F137" s="65" t="s">
        <v>1318</v>
      </c>
      <c r="G137" s="65" t="s">
        <v>11</v>
      </c>
      <c r="H137" s="65" t="s">
        <v>1236</v>
      </c>
    </row>
    <row r="138" spans="1:8" s="66" customFormat="1" ht="18" customHeight="1" x14ac:dyDescent="0.3">
      <c r="A138" s="63">
        <v>4724</v>
      </c>
      <c r="B138" s="64" t="s">
        <v>582</v>
      </c>
      <c r="C138" s="65" t="s">
        <v>1169</v>
      </c>
      <c r="D138" s="65" t="s">
        <v>1154</v>
      </c>
      <c r="E138" s="65" t="s">
        <v>473</v>
      </c>
      <c r="F138" s="65" t="s">
        <v>1319</v>
      </c>
      <c r="G138" s="65" t="s">
        <v>154</v>
      </c>
      <c r="H138" s="65" t="s">
        <v>1320</v>
      </c>
    </row>
    <row r="139" spans="1:8" s="66" customFormat="1" ht="18" customHeight="1" x14ac:dyDescent="0.3">
      <c r="A139" s="63">
        <v>4733</v>
      </c>
      <c r="B139" s="64" t="s">
        <v>583</v>
      </c>
      <c r="C139" s="65" t="s">
        <v>891</v>
      </c>
      <c r="D139" s="65" t="s">
        <v>1154</v>
      </c>
      <c r="E139" s="65" t="s">
        <v>473</v>
      </c>
      <c r="F139" s="65" t="s">
        <v>1321</v>
      </c>
      <c r="G139" s="65" t="s">
        <v>17</v>
      </c>
      <c r="H139" s="65" t="s">
        <v>1212</v>
      </c>
    </row>
    <row r="140" spans="1:8" s="66" customFormat="1" ht="18" customHeight="1" x14ac:dyDescent="0.3">
      <c r="A140" s="63">
        <v>4817</v>
      </c>
      <c r="B140" s="64" t="s">
        <v>584</v>
      </c>
      <c r="C140" s="65" t="s">
        <v>891</v>
      </c>
      <c r="D140" s="65" t="s">
        <v>1154</v>
      </c>
      <c r="E140" s="65" t="s">
        <v>2</v>
      </c>
      <c r="F140" s="65" t="s">
        <v>1322</v>
      </c>
      <c r="G140" s="65" t="s">
        <v>0</v>
      </c>
      <c r="H140" s="65" t="s">
        <v>1166</v>
      </c>
    </row>
    <row r="141" spans="1:8" s="66" customFormat="1" ht="18" customHeight="1" x14ac:dyDescent="0.3">
      <c r="A141" s="63">
        <v>4823</v>
      </c>
      <c r="B141" s="64" t="s">
        <v>162</v>
      </c>
      <c r="C141" s="65" t="s">
        <v>891</v>
      </c>
      <c r="D141" s="65" t="s">
        <v>549</v>
      </c>
      <c r="E141" s="65" t="s">
        <v>549</v>
      </c>
      <c r="F141" s="65" t="s">
        <v>1323</v>
      </c>
      <c r="G141" s="65" t="s">
        <v>0</v>
      </c>
      <c r="H141" s="65" t="s">
        <v>1156</v>
      </c>
    </row>
    <row r="142" spans="1:8" s="66" customFormat="1" ht="18" customHeight="1" x14ac:dyDescent="0.3">
      <c r="A142" s="63">
        <v>4830</v>
      </c>
      <c r="B142" s="64" t="s">
        <v>585</v>
      </c>
      <c r="C142" s="65" t="s">
        <v>891</v>
      </c>
      <c r="D142" s="65" t="s">
        <v>1154</v>
      </c>
      <c r="E142" s="65" t="s">
        <v>1</v>
      </c>
      <c r="F142" s="65" t="s">
        <v>1324</v>
      </c>
      <c r="G142" s="65" t="s">
        <v>5</v>
      </c>
      <c r="H142" s="65" t="s">
        <v>1168</v>
      </c>
    </row>
    <row r="143" spans="1:8" s="66" customFormat="1" ht="18" customHeight="1" x14ac:dyDescent="0.3">
      <c r="A143" s="63">
        <v>4835</v>
      </c>
      <c r="B143" s="64" t="s">
        <v>586</v>
      </c>
      <c r="C143" s="65" t="s">
        <v>891</v>
      </c>
      <c r="D143" s="65" t="s">
        <v>1154</v>
      </c>
      <c r="E143" s="65" t="s">
        <v>473</v>
      </c>
      <c r="F143" s="65" t="s">
        <v>1325</v>
      </c>
      <c r="G143" s="65" t="s">
        <v>17</v>
      </c>
      <c r="H143" s="65" t="s">
        <v>1212</v>
      </c>
    </row>
    <row r="144" spans="1:8" s="66" customFormat="1" ht="18" customHeight="1" x14ac:dyDescent="0.3">
      <c r="A144" s="63">
        <v>4887</v>
      </c>
      <c r="B144" s="64" t="s">
        <v>1027</v>
      </c>
      <c r="C144" s="65" t="s">
        <v>891</v>
      </c>
      <c r="D144" s="65" t="s">
        <v>1220</v>
      </c>
      <c r="E144" s="65" t="s">
        <v>1025</v>
      </c>
      <c r="F144" s="65" t="s">
        <v>1326</v>
      </c>
      <c r="G144" s="65" t="s">
        <v>0</v>
      </c>
      <c r="H144" s="65" t="s">
        <v>1305</v>
      </c>
    </row>
    <row r="145" spans="1:8" s="66" customFormat="1" ht="18" customHeight="1" x14ac:dyDescent="0.3">
      <c r="A145" s="63">
        <v>4907</v>
      </c>
      <c r="B145" s="64" t="s">
        <v>437</v>
      </c>
      <c r="C145" s="65" t="s">
        <v>891</v>
      </c>
      <c r="D145" s="65" t="s">
        <v>1220</v>
      </c>
      <c r="E145" s="65" t="s">
        <v>158</v>
      </c>
      <c r="F145" s="65" t="s">
        <v>1327</v>
      </c>
      <c r="G145" s="65" t="s">
        <v>14</v>
      </c>
      <c r="H145" s="65" t="s">
        <v>1168</v>
      </c>
    </row>
    <row r="146" spans="1:8" s="66" customFormat="1" ht="18" customHeight="1" x14ac:dyDescent="0.3">
      <c r="A146" s="63">
        <v>4909</v>
      </c>
      <c r="B146" s="64" t="s">
        <v>438</v>
      </c>
      <c r="C146" s="65" t="s">
        <v>891</v>
      </c>
      <c r="D146" s="65" t="s">
        <v>1220</v>
      </c>
      <c r="E146" s="65" t="s">
        <v>158</v>
      </c>
      <c r="F146" s="65" t="s">
        <v>1328</v>
      </c>
      <c r="G146" s="65" t="s">
        <v>0</v>
      </c>
      <c r="H146" s="65" t="s">
        <v>1156</v>
      </c>
    </row>
    <row r="147" spans="1:8" s="66" customFormat="1" ht="18" customHeight="1" x14ac:dyDescent="0.3">
      <c r="A147" s="63">
        <v>4921</v>
      </c>
      <c r="B147" s="64" t="s">
        <v>587</v>
      </c>
      <c r="C147" s="65" t="s">
        <v>1169</v>
      </c>
      <c r="D147" s="65" t="s">
        <v>1220</v>
      </c>
      <c r="E147" s="65" t="s">
        <v>158</v>
      </c>
      <c r="F147" s="65" t="s">
        <v>1329</v>
      </c>
      <c r="G147" s="65" t="s">
        <v>6</v>
      </c>
      <c r="H147" s="65" t="s">
        <v>1190</v>
      </c>
    </row>
    <row r="148" spans="1:8" s="66" customFormat="1" ht="18" customHeight="1" x14ac:dyDescent="0.3">
      <c r="A148" s="63">
        <v>4922</v>
      </c>
      <c r="B148" s="64" t="s">
        <v>588</v>
      </c>
      <c r="C148" s="65" t="s">
        <v>891</v>
      </c>
      <c r="D148" s="65" t="s">
        <v>1154</v>
      </c>
      <c r="E148" s="65" t="s">
        <v>1</v>
      </c>
      <c r="F148" s="65" t="s">
        <v>1330</v>
      </c>
      <c r="G148" s="65" t="s">
        <v>0</v>
      </c>
      <c r="H148" s="65" t="s">
        <v>1156</v>
      </c>
    </row>
    <row r="149" spans="1:8" s="66" customFormat="1" ht="18" customHeight="1" x14ac:dyDescent="0.3">
      <c r="A149" s="63">
        <v>4925</v>
      </c>
      <c r="B149" s="64" t="s">
        <v>1028</v>
      </c>
      <c r="C149" s="65" t="s">
        <v>891</v>
      </c>
      <c r="D149" s="65" t="s">
        <v>1220</v>
      </c>
      <c r="E149" s="65" t="s">
        <v>1025</v>
      </c>
      <c r="F149" s="65" t="s">
        <v>1331</v>
      </c>
      <c r="G149" s="65" t="s">
        <v>5</v>
      </c>
      <c r="H149" s="65" t="s">
        <v>1168</v>
      </c>
    </row>
    <row r="150" spans="1:8" s="66" customFormat="1" ht="18" customHeight="1" x14ac:dyDescent="0.3">
      <c r="A150" s="63">
        <v>4937</v>
      </c>
      <c r="B150" s="64" t="s">
        <v>589</v>
      </c>
      <c r="C150" s="65" t="s">
        <v>891</v>
      </c>
      <c r="D150" s="65" t="s">
        <v>1154</v>
      </c>
      <c r="E150" s="65" t="s">
        <v>2</v>
      </c>
      <c r="F150" s="65" t="s">
        <v>1332</v>
      </c>
      <c r="G150" s="65" t="s">
        <v>0</v>
      </c>
      <c r="H150" s="65" t="s">
        <v>1183</v>
      </c>
    </row>
    <row r="151" spans="1:8" s="66" customFormat="1" ht="18" customHeight="1" x14ac:dyDescent="0.3">
      <c r="A151" s="63">
        <v>4946</v>
      </c>
      <c r="B151" s="64" t="s">
        <v>590</v>
      </c>
      <c r="C151" s="65" t="s">
        <v>891</v>
      </c>
      <c r="D151" s="65" t="s">
        <v>1220</v>
      </c>
      <c r="E151" s="65" t="s">
        <v>158</v>
      </c>
      <c r="F151" s="65" t="s">
        <v>1333</v>
      </c>
      <c r="G151" s="65" t="s">
        <v>12</v>
      </c>
      <c r="H151" s="65" t="s">
        <v>1168</v>
      </c>
    </row>
    <row r="152" spans="1:8" s="66" customFormat="1" ht="18" customHeight="1" x14ac:dyDescent="0.3">
      <c r="A152" s="63">
        <v>4953</v>
      </c>
      <c r="B152" s="64" t="s">
        <v>591</v>
      </c>
      <c r="C152" s="65" t="s">
        <v>891</v>
      </c>
      <c r="D152" s="65" t="s">
        <v>1154</v>
      </c>
      <c r="E152" s="65" t="s">
        <v>482</v>
      </c>
      <c r="F152" s="65" t="s">
        <v>1334</v>
      </c>
      <c r="G152" s="65" t="s">
        <v>0</v>
      </c>
      <c r="H152" s="65" t="s">
        <v>1185</v>
      </c>
    </row>
    <row r="153" spans="1:8" s="66" customFormat="1" ht="18" customHeight="1" x14ac:dyDescent="0.3">
      <c r="A153" s="63">
        <v>4961</v>
      </c>
      <c r="B153" s="64" t="s">
        <v>592</v>
      </c>
      <c r="C153" s="65" t="s">
        <v>891</v>
      </c>
      <c r="D153" s="65" t="s">
        <v>1154</v>
      </c>
      <c r="E153" s="65" t="s">
        <v>1</v>
      </c>
      <c r="F153" s="65" t="s">
        <v>1335</v>
      </c>
      <c r="G153" s="65" t="s">
        <v>0</v>
      </c>
      <c r="H153" s="65" t="s">
        <v>1156</v>
      </c>
    </row>
    <row r="154" spans="1:8" s="66" customFormat="1" ht="18" customHeight="1" x14ac:dyDescent="0.3">
      <c r="A154" s="63">
        <v>4968</v>
      </c>
      <c r="B154" s="64" t="s">
        <v>593</v>
      </c>
      <c r="C154" s="65" t="s">
        <v>1169</v>
      </c>
      <c r="D154" s="65" t="s">
        <v>1154</v>
      </c>
      <c r="E154" s="65" t="s">
        <v>473</v>
      </c>
      <c r="F154" s="65" t="s">
        <v>1336</v>
      </c>
      <c r="G154" s="65" t="s">
        <v>156</v>
      </c>
      <c r="H154" s="65" t="s">
        <v>1168</v>
      </c>
    </row>
    <row r="155" spans="1:8" s="66" customFormat="1" ht="18" customHeight="1" x14ac:dyDescent="0.3">
      <c r="A155" s="67">
        <v>4969</v>
      </c>
      <c r="B155" s="68" t="s">
        <v>2064</v>
      </c>
      <c r="C155" s="69" t="s">
        <v>891</v>
      </c>
      <c r="D155" s="67" t="s">
        <v>1220</v>
      </c>
      <c r="E155" s="67" t="s">
        <v>158</v>
      </c>
      <c r="F155" s="67" t="s">
        <v>2091</v>
      </c>
      <c r="G155" s="67" t="s">
        <v>2108</v>
      </c>
      <c r="H155" s="65" t="s">
        <v>1168</v>
      </c>
    </row>
    <row r="156" spans="1:8" s="66" customFormat="1" ht="18" customHeight="1" x14ac:dyDescent="0.3">
      <c r="A156" s="67">
        <v>4969</v>
      </c>
      <c r="B156" s="68" t="s">
        <v>2064</v>
      </c>
      <c r="C156" s="67" t="s">
        <v>891</v>
      </c>
      <c r="D156" s="67" t="s">
        <v>1220</v>
      </c>
      <c r="E156" s="67" t="s">
        <v>158</v>
      </c>
      <c r="F156" s="67" t="s">
        <v>2091</v>
      </c>
      <c r="G156" s="67" t="s">
        <v>2108</v>
      </c>
      <c r="H156" s="65" t="s">
        <v>1168</v>
      </c>
    </row>
    <row r="157" spans="1:8" s="66" customFormat="1" ht="18" customHeight="1" x14ac:dyDescent="0.3">
      <c r="A157" s="63">
        <v>4972</v>
      </c>
      <c r="B157" s="64" t="s">
        <v>594</v>
      </c>
      <c r="C157" s="65" t="s">
        <v>891</v>
      </c>
      <c r="D157" s="65" t="s">
        <v>1154</v>
      </c>
      <c r="E157" s="65" t="s">
        <v>1</v>
      </c>
      <c r="F157" s="65" t="s">
        <v>1337</v>
      </c>
      <c r="G157" s="65" t="s">
        <v>0</v>
      </c>
      <c r="H157" s="65" t="s">
        <v>1156</v>
      </c>
    </row>
    <row r="158" spans="1:8" s="66" customFormat="1" ht="18" customHeight="1" x14ac:dyDescent="0.3">
      <c r="A158" s="63">
        <v>4977</v>
      </c>
      <c r="B158" s="64" t="s">
        <v>595</v>
      </c>
      <c r="C158" s="65" t="s">
        <v>891</v>
      </c>
      <c r="D158" s="65" t="s">
        <v>1220</v>
      </c>
      <c r="E158" s="65" t="s">
        <v>158</v>
      </c>
      <c r="F158" s="65" t="s">
        <v>1338</v>
      </c>
      <c r="G158" s="65" t="s">
        <v>17</v>
      </c>
      <c r="H158" s="65" t="s">
        <v>1212</v>
      </c>
    </row>
    <row r="159" spans="1:8" s="66" customFormat="1" ht="18" customHeight="1" x14ac:dyDescent="0.3">
      <c r="A159" s="63">
        <v>4979</v>
      </c>
      <c r="B159" s="64" t="s">
        <v>596</v>
      </c>
      <c r="C159" s="65" t="s">
        <v>1169</v>
      </c>
      <c r="D159" s="65" t="s">
        <v>1154</v>
      </c>
      <c r="E159" s="65" t="s">
        <v>1</v>
      </c>
      <c r="F159" s="65" t="s">
        <v>1339</v>
      </c>
      <c r="G159" s="65" t="s">
        <v>153</v>
      </c>
      <c r="H159" s="65" t="s">
        <v>1179</v>
      </c>
    </row>
    <row r="160" spans="1:8" s="66" customFormat="1" ht="18" customHeight="1" x14ac:dyDescent="0.3">
      <c r="A160" s="63">
        <v>4985</v>
      </c>
      <c r="B160" s="64" t="s">
        <v>1029</v>
      </c>
      <c r="C160" s="65" t="s">
        <v>891</v>
      </c>
      <c r="D160" s="65" t="s">
        <v>1220</v>
      </c>
      <c r="E160" s="65" t="s">
        <v>1025</v>
      </c>
      <c r="F160" s="65" t="s">
        <v>1340</v>
      </c>
      <c r="G160" s="65" t="s">
        <v>0</v>
      </c>
      <c r="H160" s="65" t="s">
        <v>1185</v>
      </c>
    </row>
    <row r="161" spans="1:8" s="66" customFormat="1" ht="18" customHeight="1" x14ac:dyDescent="0.3">
      <c r="A161" s="63">
        <v>5020</v>
      </c>
      <c r="B161" s="64" t="s">
        <v>598</v>
      </c>
      <c r="C161" s="65" t="s">
        <v>891</v>
      </c>
      <c r="D161" s="65" t="s">
        <v>1154</v>
      </c>
      <c r="E161" s="65" t="s">
        <v>482</v>
      </c>
      <c r="F161" s="65" t="s">
        <v>1341</v>
      </c>
      <c r="G161" s="65" t="s">
        <v>17</v>
      </c>
      <c r="H161" s="65" t="s">
        <v>1247</v>
      </c>
    </row>
    <row r="162" spans="1:8" s="66" customFormat="1" ht="18" customHeight="1" x14ac:dyDescent="0.3">
      <c r="A162" s="63">
        <v>5045</v>
      </c>
      <c r="B162" s="64" t="s">
        <v>599</v>
      </c>
      <c r="C162" s="65" t="s">
        <v>891</v>
      </c>
      <c r="D162" s="65" t="s">
        <v>1220</v>
      </c>
      <c r="E162" s="65" t="s">
        <v>158</v>
      </c>
      <c r="F162" s="65" t="s">
        <v>1342</v>
      </c>
      <c r="G162" s="65" t="s">
        <v>0</v>
      </c>
      <c r="H162" s="65" t="s">
        <v>1156</v>
      </c>
    </row>
    <row r="163" spans="1:8" s="66" customFormat="1" ht="18" customHeight="1" x14ac:dyDescent="0.3">
      <c r="A163" s="63">
        <v>5048</v>
      </c>
      <c r="B163" s="64" t="s">
        <v>1343</v>
      </c>
      <c r="C163" s="65" t="s">
        <v>1344</v>
      </c>
      <c r="D163" s="65" t="s">
        <v>1154</v>
      </c>
      <c r="E163" s="65" t="s">
        <v>1</v>
      </c>
      <c r="F163" s="65" t="s">
        <v>1345</v>
      </c>
      <c r="G163" s="65" t="s">
        <v>1346</v>
      </c>
      <c r="H163" s="65" t="s">
        <v>1168</v>
      </c>
    </row>
    <row r="164" spans="1:8" s="66" customFormat="1" ht="18" customHeight="1" x14ac:dyDescent="0.3">
      <c r="A164" s="63">
        <v>5054</v>
      </c>
      <c r="B164" s="64" t="s">
        <v>163</v>
      </c>
      <c r="C164" s="65" t="s">
        <v>891</v>
      </c>
      <c r="D164" s="65" t="s">
        <v>549</v>
      </c>
      <c r="E164" s="65" t="s">
        <v>549</v>
      </c>
      <c r="F164" s="65" t="s">
        <v>1347</v>
      </c>
      <c r="G164" s="65" t="s">
        <v>0</v>
      </c>
      <c r="H164" s="65" t="s">
        <v>1156</v>
      </c>
    </row>
    <row r="165" spans="1:8" s="66" customFormat="1" ht="18" customHeight="1" x14ac:dyDescent="0.3">
      <c r="A165" s="63">
        <v>5056</v>
      </c>
      <c r="B165" s="64" t="s">
        <v>600</v>
      </c>
      <c r="C165" s="65" t="s">
        <v>891</v>
      </c>
      <c r="D165" s="65" t="s">
        <v>1154</v>
      </c>
      <c r="E165" s="65" t="s">
        <v>1</v>
      </c>
      <c r="F165" s="65" t="s">
        <v>1348</v>
      </c>
      <c r="G165" s="65" t="s">
        <v>7</v>
      </c>
      <c r="H165" s="65" t="s">
        <v>1168</v>
      </c>
    </row>
    <row r="166" spans="1:8" s="66" customFormat="1" ht="18" customHeight="1" x14ac:dyDescent="0.3">
      <c r="A166" s="63">
        <v>5059</v>
      </c>
      <c r="B166" s="64" t="s">
        <v>601</v>
      </c>
      <c r="C166" s="65" t="s">
        <v>891</v>
      </c>
      <c r="D166" s="65" t="s">
        <v>1220</v>
      </c>
      <c r="E166" s="65" t="s">
        <v>158</v>
      </c>
      <c r="F166" s="65" t="s">
        <v>1349</v>
      </c>
      <c r="G166" s="65" t="s">
        <v>24</v>
      </c>
      <c r="H166" s="65" t="s">
        <v>1168</v>
      </c>
    </row>
    <row r="167" spans="1:8" s="66" customFormat="1" ht="18" customHeight="1" x14ac:dyDescent="0.3">
      <c r="A167" s="63">
        <v>5098</v>
      </c>
      <c r="B167" s="64" t="s">
        <v>602</v>
      </c>
      <c r="C167" s="65" t="s">
        <v>891</v>
      </c>
      <c r="D167" s="65" t="s">
        <v>1220</v>
      </c>
      <c r="E167" s="65" t="s">
        <v>158</v>
      </c>
      <c r="F167" s="65" t="s">
        <v>1350</v>
      </c>
      <c r="G167" s="65" t="s">
        <v>17</v>
      </c>
      <c r="H167" s="65" t="s">
        <v>1247</v>
      </c>
    </row>
    <row r="168" spans="1:8" s="66" customFormat="1" ht="18" customHeight="1" x14ac:dyDescent="0.3">
      <c r="A168" s="63">
        <v>5101</v>
      </c>
      <c r="B168" s="64" t="s">
        <v>603</v>
      </c>
      <c r="C168" s="65" t="s">
        <v>891</v>
      </c>
      <c r="D168" s="65" t="s">
        <v>1154</v>
      </c>
      <c r="E168" s="65" t="s">
        <v>1</v>
      </c>
      <c r="F168" s="65" t="s">
        <v>1351</v>
      </c>
      <c r="G168" s="65" t="s">
        <v>3</v>
      </c>
      <c r="H168" s="65" t="s">
        <v>1164</v>
      </c>
    </row>
    <row r="169" spans="1:8" s="66" customFormat="1" ht="18" customHeight="1" x14ac:dyDescent="0.3">
      <c r="A169" s="63">
        <v>5102</v>
      </c>
      <c r="B169" s="64" t="s">
        <v>604</v>
      </c>
      <c r="C169" s="65" t="s">
        <v>891</v>
      </c>
      <c r="D169" s="65" t="s">
        <v>1220</v>
      </c>
      <c r="E169" s="65" t="s">
        <v>158</v>
      </c>
      <c r="F169" s="65" t="s">
        <v>1352</v>
      </c>
      <c r="G169" s="65" t="s">
        <v>16</v>
      </c>
      <c r="H169" s="65" t="s">
        <v>1353</v>
      </c>
    </row>
    <row r="170" spans="1:8" s="66" customFormat="1" ht="18" customHeight="1" x14ac:dyDescent="0.3">
      <c r="A170" s="63">
        <v>5107</v>
      </c>
      <c r="B170" s="64" t="s">
        <v>1030</v>
      </c>
      <c r="C170" s="65" t="s">
        <v>891</v>
      </c>
      <c r="D170" s="65" t="s">
        <v>1220</v>
      </c>
      <c r="E170" s="65" t="s">
        <v>1025</v>
      </c>
      <c r="F170" s="65" t="s">
        <v>1354</v>
      </c>
      <c r="G170" s="65" t="s">
        <v>3</v>
      </c>
      <c r="H170" s="65" t="s">
        <v>1164</v>
      </c>
    </row>
    <row r="171" spans="1:8" s="66" customFormat="1" ht="18" customHeight="1" x14ac:dyDescent="0.3">
      <c r="A171" s="63">
        <v>5113</v>
      </c>
      <c r="B171" s="64" t="s">
        <v>605</v>
      </c>
      <c r="C171" s="65" t="s">
        <v>891</v>
      </c>
      <c r="D171" s="65" t="s">
        <v>1154</v>
      </c>
      <c r="E171" s="65" t="s">
        <v>482</v>
      </c>
      <c r="F171" s="65" t="s">
        <v>1355</v>
      </c>
      <c r="G171" s="65" t="s">
        <v>17</v>
      </c>
      <c r="H171" s="65" t="s">
        <v>1247</v>
      </c>
    </row>
    <row r="172" spans="1:8" s="66" customFormat="1" ht="18" customHeight="1" x14ac:dyDescent="0.3">
      <c r="A172" s="63">
        <v>5115</v>
      </c>
      <c r="B172" s="64" t="s">
        <v>606</v>
      </c>
      <c r="C172" s="65" t="s">
        <v>891</v>
      </c>
      <c r="D172" s="65" t="s">
        <v>1154</v>
      </c>
      <c r="E172" s="65" t="s">
        <v>482</v>
      </c>
      <c r="F172" s="65" t="s">
        <v>1356</v>
      </c>
      <c r="G172" s="65" t="s">
        <v>16</v>
      </c>
      <c r="H172" s="65" t="s">
        <v>1357</v>
      </c>
    </row>
    <row r="173" spans="1:8" s="66" customFormat="1" ht="18" customHeight="1" x14ac:dyDescent="0.3">
      <c r="A173" s="63">
        <v>5138</v>
      </c>
      <c r="B173" s="64" t="s">
        <v>607</v>
      </c>
      <c r="C173" s="65" t="s">
        <v>1169</v>
      </c>
      <c r="D173" s="65" t="s">
        <v>1154</v>
      </c>
      <c r="E173" s="65" t="s">
        <v>1</v>
      </c>
      <c r="F173" s="65" t="s">
        <v>1358</v>
      </c>
      <c r="G173" s="65" t="s">
        <v>152</v>
      </c>
      <c r="H173" s="65" t="s">
        <v>1181</v>
      </c>
    </row>
    <row r="174" spans="1:8" s="66" customFormat="1" ht="18" customHeight="1" x14ac:dyDescent="0.3">
      <c r="A174" s="63">
        <v>5141</v>
      </c>
      <c r="B174" s="64" t="s">
        <v>1031</v>
      </c>
      <c r="C174" s="65" t="s">
        <v>891</v>
      </c>
      <c r="D174" s="65" t="s">
        <v>1220</v>
      </c>
      <c r="E174" s="65" t="s">
        <v>1025</v>
      </c>
      <c r="F174" s="65" t="s">
        <v>1359</v>
      </c>
      <c r="G174" s="65" t="s">
        <v>10</v>
      </c>
      <c r="H174" s="65" t="s">
        <v>1168</v>
      </c>
    </row>
    <row r="175" spans="1:8" s="66" customFormat="1" ht="18" customHeight="1" x14ac:dyDescent="0.3">
      <c r="A175" s="63">
        <v>5159</v>
      </c>
      <c r="B175" s="64" t="s">
        <v>608</v>
      </c>
      <c r="C175" s="65" t="s">
        <v>891</v>
      </c>
      <c r="D175" s="65" t="s">
        <v>1154</v>
      </c>
      <c r="E175" s="65" t="s">
        <v>1</v>
      </c>
      <c r="F175" s="65" t="s">
        <v>1360</v>
      </c>
      <c r="G175" s="65" t="s">
        <v>157</v>
      </c>
      <c r="H175" s="65" t="s">
        <v>1168</v>
      </c>
    </row>
    <row r="176" spans="1:8" s="66" customFormat="1" ht="18" customHeight="1" x14ac:dyDescent="0.3">
      <c r="A176" s="63">
        <v>5162</v>
      </c>
      <c r="B176" s="64" t="s">
        <v>1127</v>
      </c>
      <c r="C176" s="65" t="s">
        <v>891</v>
      </c>
      <c r="D176" s="65" t="s">
        <v>1154</v>
      </c>
      <c r="E176" s="65" t="s">
        <v>1</v>
      </c>
      <c r="F176" s="65" t="s">
        <v>1361</v>
      </c>
      <c r="G176" s="65" t="s">
        <v>3</v>
      </c>
      <c r="H176" s="65" t="s">
        <v>1164</v>
      </c>
    </row>
    <row r="177" spans="1:8" s="66" customFormat="1" ht="18" customHeight="1" x14ac:dyDescent="0.3">
      <c r="A177" s="63">
        <v>5165</v>
      </c>
      <c r="B177" s="64" t="s">
        <v>609</v>
      </c>
      <c r="C177" s="65" t="s">
        <v>1169</v>
      </c>
      <c r="D177" s="65" t="s">
        <v>1220</v>
      </c>
      <c r="E177" s="65" t="s">
        <v>158</v>
      </c>
      <c r="F177" s="65" t="s">
        <v>1362</v>
      </c>
      <c r="G177" s="65" t="s">
        <v>156</v>
      </c>
      <c r="H177" s="65" t="s">
        <v>1363</v>
      </c>
    </row>
    <row r="178" spans="1:8" s="66" customFormat="1" ht="18" customHeight="1" x14ac:dyDescent="0.3">
      <c r="A178" s="63">
        <v>5168</v>
      </c>
      <c r="B178" s="64" t="s">
        <v>610</v>
      </c>
      <c r="C178" s="65" t="s">
        <v>891</v>
      </c>
      <c r="D178" s="65" t="s">
        <v>1154</v>
      </c>
      <c r="E178" s="65" t="s">
        <v>482</v>
      </c>
      <c r="F178" s="65" t="s">
        <v>1364</v>
      </c>
      <c r="G178" s="65" t="s">
        <v>16</v>
      </c>
      <c r="H178" s="65" t="s">
        <v>1365</v>
      </c>
    </row>
    <row r="179" spans="1:8" s="66" customFormat="1" ht="18" customHeight="1" x14ac:dyDescent="0.3">
      <c r="A179" s="63">
        <v>5174</v>
      </c>
      <c r="B179" s="64" t="s">
        <v>611</v>
      </c>
      <c r="C179" s="65" t="s">
        <v>891</v>
      </c>
      <c r="D179" s="65" t="s">
        <v>1154</v>
      </c>
      <c r="E179" s="65" t="s">
        <v>2</v>
      </c>
      <c r="F179" s="65" t="s">
        <v>1366</v>
      </c>
      <c r="G179" s="65" t="s">
        <v>21</v>
      </c>
      <c r="H179" s="65" t="s">
        <v>1168</v>
      </c>
    </row>
    <row r="180" spans="1:8" s="66" customFormat="1" ht="18" customHeight="1" x14ac:dyDescent="0.3">
      <c r="A180" s="63">
        <v>5175</v>
      </c>
      <c r="B180" s="64" t="s">
        <v>439</v>
      </c>
      <c r="C180" s="65" t="s">
        <v>891</v>
      </c>
      <c r="D180" s="65" t="s">
        <v>1220</v>
      </c>
      <c r="E180" s="65" t="s">
        <v>158</v>
      </c>
      <c r="F180" s="65" t="s">
        <v>1367</v>
      </c>
      <c r="G180" s="65" t="s">
        <v>0</v>
      </c>
      <c r="H180" s="65" t="s">
        <v>1156</v>
      </c>
    </row>
    <row r="181" spans="1:8" s="66" customFormat="1" ht="18" customHeight="1" x14ac:dyDescent="0.3">
      <c r="A181" s="63">
        <v>5178</v>
      </c>
      <c r="B181" s="64" t="s">
        <v>440</v>
      </c>
      <c r="C181" s="65" t="s">
        <v>891</v>
      </c>
      <c r="D181" s="65" t="s">
        <v>1220</v>
      </c>
      <c r="E181" s="65" t="s">
        <v>158</v>
      </c>
      <c r="F181" s="65" t="s">
        <v>1368</v>
      </c>
      <c r="G181" s="65" t="s">
        <v>0</v>
      </c>
      <c r="H181" s="65" t="s">
        <v>1156</v>
      </c>
    </row>
    <row r="182" spans="1:8" s="66" customFormat="1" ht="18" customHeight="1" x14ac:dyDescent="0.3">
      <c r="A182" s="63">
        <v>5181</v>
      </c>
      <c r="B182" s="64" t="s">
        <v>612</v>
      </c>
      <c r="C182" s="65" t="s">
        <v>891</v>
      </c>
      <c r="D182" s="65" t="s">
        <v>1154</v>
      </c>
      <c r="E182" s="65" t="s">
        <v>1</v>
      </c>
      <c r="F182" s="65" t="s">
        <v>1369</v>
      </c>
      <c r="G182" s="65" t="s">
        <v>0</v>
      </c>
      <c r="H182" s="65" t="s">
        <v>1185</v>
      </c>
    </row>
    <row r="183" spans="1:8" s="66" customFormat="1" ht="18" customHeight="1" x14ac:dyDescent="0.3">
      <c r="A183" s="63">
        <v>5186</v>
      </c>
      <c r="B183" s="64" t="s">
        <v>613</v>
      </c>
      <c r="C183" s="65" t="s">
        <v>891</v>
      </c>
      <c r="D183" s="65" t="s">
        <v>1154</v>
      </c>
      <c r="E183" s="65" t="s">
        <v>473</v>
      </c>
      <c r="F183" s="65" t="s">
        <v>1370</v>
      </c>
      <c r="G183" s="65" t="s">
        <v>16</v>
      </c>
      <c r="H183" s="65" t="s">
        <v>1243</v>
      </c>
    </row>
    <row r="184" spans="1:8" s="66" customFormat="1" ht="18" customHeight="1" x14ac:dyDescent="0.3">
      <c r="A184" s="63">
        <v>5189</v>
      </c>
      <c r="B184" s="64" t="s">
        <v>614</v>
      </c>
      <c r="C184" s="65" t="s">
        <v>891</v>
      </c>
      <c r="D184" s="65" t="s">
        <v>1154</v>
      </c>
      <c r="E184" s="65" t="s">
        <v>1</v>
      </c>
      <c r="F184" s="65" t="s">
        <v>1371</v>
      </c>
      <c r="G184" s="65" t="s">
        <v>20</v>
      </c>
      <c r="H184" s="65" t="s">
        <v>1372</v>
      </c>
    </row>
    <row r="185" spans="1:8" s="66" customFormat="1" ht="18" customHeight="1" x14ac:dyDescent="0.3">
      <c r="A185" s="63">
        <v>5202</v>
      </c>
      <c r="B185" s="64" t="s">
        <v>615</v>
      </c>
      <c r="C185" s="65" t="s">
        <v>891</v>
      </c>
      <c r="D185" s="65" t="s">
        <v>1154</v>
      </c>
      <c r="E185" s="65" t="s">
        <v>1</v>
      </c>
      <c r="F185" s="65" t="s">
        <v>1373</v>
      </c>
      <c r="G185" s="65" t="s">
        <v>0</v>
      </c>
      <c r="H185" s="65" t="s">
        <v>1156</v>
      </c>
    </row>
    <row r="186" spans="1:8" s="66" customFormat="1" ht="18" customHeight="1" x14ac:dyDescent="0.3">
      <c r="A186" s="63">
        <v>5217</v>
      </c>
      <c r="B186" s="64" t="s">
        <v>616</v>
      </c>
      <c r="C186" s="65" t="s">
        <v>891</v>
      </c>
      <c r="D186" s="65" t="s">
        <v>1154</v>
      </c>
      <c r="E186" s="65" t="s">
        <v>473</v>
      </c>
      <c r="F186" s="65" t="s">
        <v>1374</v>
      </c>
      <c r="G186" s="65" t="s">
        <v>11</v>
      </c>
      <c r="H186" s="65" t="s">
        <v>1236</v>
      </c>
    </row>
    <row r="187" spans="1:8" s="66" customFormat="1" ht="18" customHeight="1" x14ac:dyDescent="0.3">
      <c r="A187" s="63">
        <v>5218</v>
      </c>
      <c r="B187" s="64" t="s">
        <v>617</v>
      </c>
      <c r="C187" s="65" t="s">
        <v>891</v>
      </c>
      <c r="D187" s="65" t="s">
        <v>1154</v>
      </c>
      <c r="E187" s="65" t="s">
        <v>482</v>
      </c>
      <c r="F187" s="65" t="s">
        <v>1375</v>
      </c>
      <c r="G187" s="65" t="s">
        <v>3</v>
      </c>
      <c r="H187" s="65" t="s">
        <v>1376</v>
      </c>
    </row>
    <row r="188" spans="1:8" s="66" customFormat="1" ht="18" customHeight="1" x14ac:dyDescent="0.3">
      <c r="A188" s="63">
        <v>5228</v>
      </c>
      <c r="B188" s="64" t="s">
        <v>400</v>
      </c>
      <c r="C188" s="65" t="s">
        <v>1169</v>
      </c>
      <c r="D188" s="65" t="s">
        <v>1154</v>
      </c>
      <c r="E188" s="65" t="s">
        <v>1</v>
      </c>
      <c r="F188" s="65" t="s">
        <v>1377</v>
      </c>
      <c r="G188" s="65" t="s">
        <v>155</v>
      </c>
      <c r="H188" s="65" t="s">
        <v>1168</v>
      </c>
    </row>
    <row r="189" spans="1:8" s="66" customFormat="1" ht="18" customHeight="1" x14ac:dyDescent="0.3">
      <c r="A189" s="67">
        <v>5239</v>
      </c>
      <c r="B189" s="68" t="s">
        <v>2065</v>
      </c>
      <c r="C189" s="69" t="s">
        <v>891</v>
      </c>
      <c r="D189" s="67" t="s">
        <v>1154</v>
      </c>
      <c r="E189" s="67" t="s">
        <v>1</v>
      </c>
      <c r="F189" s="67" t="s">
        <v>2092</v>
      </c>
      <c r="G189" s="67" t="s">
        <v>2108</v>
      </c>
      <c r="H189" s="65" t="s">
        <v>1168</v>
      </c>
    </row>
    <row r="190" spans="1:8" s="66" customFormat="1" ht="18" customHeight="1" x14ac:dyDescent="0.3">
      <c r="A190" s="67">
        <v>5239</v>
      </c>
      <c r="B190" s="68" t="s">
        <v>2065</v>
      </c>
      <c r="C190" s="67" t="s">
        <v>891</v>
      </c>
      <c r="D190" s="67" t="s">
        <v>1154</v>
      </c>
      <c r="E190" s="67" t="s">
        <v>1</v>
      </c>
      <c r="F190" s="67" t="s">
        <v>2092</v>
      </c>
      <c r="G190" s="67" t="s">
        <v>2108</v>
      </c>
      <c r="H190" s="65" t="s">
        <v>1168</v>
      </c>
    </row>
    <row r="191" spans="1:8" s="66" customFormat="1" ht="18" customHeight="1" x14ac:dyDescent="0.3">
      <c r="A191" s="63">
        <v>5256</v>
      </c>
      <c r="B191" s="64" t="s">
        <v>618</v>
      </c>
      <c r="C191" s="65" t="s">
        <v>891</v>
      </c>
      <c r="D191" s="65" t="s">
        <v>4</v>
      </c>
      <c r="E191" s="65" t="s">
        <v>4</v>
      </c>
      <c r="F191" s="65" t="s">
        <v>1378</v>
      </c>
      <c r="G191" s="65" t="s">
        <v>0</v>
      </c>
      <c r="H191" s="65" t="s">
        <v>1174</v>
      </c>
    </row>
    <row r="192" spans="1:8" s="66" customFormat="1" ht="18" customHeight="1" x14ac:dyDescent="0.3">
      <c r="A192" s="67">
        <v>5280</v>
      </c>
      <c r="B192" s="68" t="s">
        <v>2066</v>
      </c>
      <c r="C192" s="69" t="s">
        <v>891</v>
      </c>
      <c r="D192" s="67" t="s">
        <v>1220</v>
      </c>
      <c r="E192" s="67" t="s">
        <v>158</v>
      </c>
      <c r="F192" s="67" t="s">
        <v>2093</v>
      </c>
      <c r="G192" s="67" t="s">
        <v>2108</v>
      </c>
      <c r="H192" s="65" t="s">
        <v>1168</v>
      </c>
    </row>
    <row r="193" spans="1:8" s="66" customFormat="1" ht="18" customHeight="1" x14ac:dyDescent="0.3">
      <c r="A193" s="67">
        <v>5280</v>
      </c>
      <c r="B193" s="68" t="s">
        <v>2066</v>
      </c>
      <c r="C193" s="67" t="s">
        <v>891</v>
      </c>
      <c r="D193" s="67" t="s">
        <v>1220</v>
      </c>
      <c r="E193" s="67" t="s">
        <v>158</v>
      </c>
      <c r="F193" s="67" t="s">
        <v>2093</v>
      </c>
      <c r="G193" s="67" t="s">
        <v>2108</v>
      </c>
      <c r="H193" s="65" t="s">
        <v>1168</v>
      </c>
    </row>
    <row r="194" spans="1:8" s="66" customFormat="1" ht="18" customHeight="1" x14ac:dyDescent="0.3">
      <c r="A194" s="63">
        <v>5281</v>
      </c>
      <c r="B194" s="64" t="s">
        <v>401</v>
      </c>
      <c r="C194" s="65" t="s">
        <v>891</v>
      </c>
      <c r="D194" s="65" t="s">
        <v>1154</v>
      </c>
      <c r="E194" s="65" t="s">
        <v>473</v>
      </c>
      <c r="F194" s="65" t="s">
        <v>1379</v>
      </c>
      <c r="G194" s="65" t="s">
        <v>0</v>
      </c>
      <c r="H194" s="65" t="s">
        <v>1174</v>
      </c>
    </row>
    <row r="195" spans="1:8" s="66" customFormat="1" ht="18" customHeight="1" x14ac:dyDescent="0.3">
      <c r="A195" s="63">
        <v>5282</v>
      </c>
      <c r="B195" s="64" t="s">
        <v>619</v>
      </c>
      <c r="C195" s="65" t="s">
        <v>1169</v>
      </c>
      <c r="D195" s="65" t="s">
        <v>1154</v>
      </c>
      <c r="E195" s="65" t="s">
        <v>473</v>
      </c>
      <c r="F195" s="65" t="s">
        <v>1380</v>
      </c>
      <c r="G195" s="65" t="s">
        <v>154</v>
      </c>
      <c r="H195" s="65" t="s">
        <v>1168</v>
      </c>
    </row>
    <row r="196" spans="1:8" s="66" customFormat="1" ht="18" customHeight="1" x14ac:dyDescent="0.3">
      <c r="A196" s="63">
        <v>5286</v>
      </c>
      <c r="B196" s="64" t="s">
        <v>1032</v>
      </c>
      <c r="C196" s="65" t="s">
        <v>891</v>
      </c>
      <c r="D196" s="65" t="s">
        <v>1220</v>
      </c>
      <c r="E196" s="65" t="s">
        <v>1025</v>
      </c>
      <c r="F196" s="65" t="s">
        <v>1381</v>
      </c>
      <c r="G196" s="65" t="s">
        <v>0</v>
      </c>
      <c r="H196" s="65" t="s">
        <v>1174</v>
      </c>
    </row>
    <row r="197" spans="1:8" s="66" customFormat="1" ht="18" customHeight="1" x14ac:dyDescent="0.3">
      <c r="A197" s="63">
        <v>5288</v>
      </c>
      <c r="B197" s="64" t="s">
        <v>620</v>
      </c>
      <c r="C197" s="65" t="s">
        <v>1169</v>
      </c>
      <c r="D197" s="65" t="s">
        <v>1220</v>
      </c>
      <c r="E197" s="65" t="s">
        <v>158</v>
      </c>
      <c r="F197" s="65" t="s">
        <v>1382</v>
      </c>
      <c r="G197" s="65" t="s">
        <v>156</v>
      </c>
      <c r="H197" s="65" t="s">
        <v>1168</v>
      </c>
    </row>
    <row r="198" spans="1:8" s="66" customFormat="1" ht="18" customHeight="1" x14ac:dyDescent="0.3">
      <c r="A198" s="63">
        <v>5292</v>
      </c>
      <c r="B198" s="64" t="s">
        <v>621</v>
      </c>
      <c r="C198" s="65" t="s">
        <v>891</v>
      </c>
      <c r="D198" s="65" t="s">
        <v>1220</v>
      </c>
      <c r="E198" s="65" t="s">
        <v>158</v>
      </c>
      <c r="F198" s="65" t="s">
        <v>1383</v>
      </c>
      <c r="G198" s="65" t="s">
        <v>16</v>
      </c>
      <c r="H198" s="65" t="s">
        <v>1357</v>
      </c>
    </row>
    <row r="199" spans="1:8" s="66" customFormat="1" ht="18" customHeight="1" x14ac:dyDescent="0.3">
      <c r="A199" s="63">
        <v>5481</v>
      </c>
      <c r="B199" s="64" t="s">
        <v>622</v>
      </c>
      <c r="C199" s="65" t="s">
        <v>891</v>
      </c>
      <c r="D199" s="65" t="s">
        <v>1154</v>
      </c>
      <c r="E199" s="65" t="s">
        <v>1</v>
      </c>
      <c r="F199" s="65" t="s">
        <v>1384</v>
      </c>
      <c r="G199" s="65" t="s">
        <v>11</v>
      </c>
      <c r="H199" s="65" t="s">
        <v>1168</v>
      </c>
    </row>
    <row r="200" spans="1:8" s="66" customFormat="1" ht="18" customHeight="1" x14ac:dyDescent="0.3">
      <c r="A200" s="63">
        <v>5502</v>
      </c>
      <c r="B200" s="64" t="s">
        <v>441</v>
      </c>
      <c r="C200" s="65" t="s">
        <v>891</v>
      </c>
      <c r="D200" s="65" t="s">
        <v>1220</v>
      </c>
      <c r="E200" s="65" t="s">
        <v>158</v>
      </c>
      <c r="F200" s="65" t="s">
        <v>1385</v>
      </c>
      <c r="G200" s="65" t="s">
        <v>0</v>
      </c>
      <c r="H200" s="65" t="s">
        <v>1156</v>
      </c>
    </row>
    <row r="201" spans="1:8" s="66" customFormat="1" ht="18" customHeight="1" x14ac:dyDescent="0.3">
      <c r="A201" s="63">
        <v>5528</v>
      </c>
      <c r="B201" s="64" t="s">
        <v>276</v>
      </c>
      <c r="C201" s="65" t="s">
        <v>891</v>
      </c>
      <c r="D201" s="65" t="s">
        <v>1154</v>
      </c>
      <c r="E201" s="65" t="s">
        <v>2</v>
      </c>
      <c r="F201" s="65" t="s">
        <v>1386</v>
      </c>
      <c r="G201" s="65" t="s">
        <v>0</v>
      </c>
      <c r="H201" s="65" t="s">
        <v>1156</v>
      </c>
    </row>
    <row r="202" spans="1:8" s="66" customFormat="1" ht="18" customHeight="1" x14ac:dyDescent="0.3">
      <c r="A202" s="63">
        <v>5537</v>
      </c>
      <c r="B202" s="64" t="s">
        <v>623</v>
      </c>
      <c r="C202" s="65" t="s">
        <v>891</v>
      </c>
      <c r="D202" s="65" t="s">
        <v>4</v>
      </c>
      <c r="E202" s="65" t="s">
        <v>4</v>
      </c>
      <c r="F202" s="65" t="s">
        <v>1387</v>
      </c>
      <c r="G202" s="65" t="s">
        <v>0</v>
      </c>
      <c r="H202" s="65" t="s">
        <v>1174</v>
      </c>
    </row>
    <row r="203" spans="1:8" s="66" customFormat="1" ht="18" customHeight="1" x14ac:dyDescent="0.3">
      <c r="A203" s="63">
        <v>5542</v>
      </c>
      <c r="B203" s="64" t="s">
        <v>624</v>
      </c>
      <c r="C203" s="65" t="s">
        <v>891</v>
      </c>
      <c r="D203" s="65" t="s">
        <v>1154</v>
      </c>
      <c r="E203" s="65" t="s">
        <v>2</v>
      </c>
      <c r="F203" s="65" t="s">
        <v>1388</v>
      </c>
      <c r="G203" s="65" t="s">
        <v>0</v>
      </c>
      <c r="H203" s="65" t="s">
        <v>1166</v>
      </c>
    </row>
    <row r="204" spans="1:8" s="66" customFormat="1" ht="18" customHeight="1" x14ac:dyDescent="0.3">
      <c r="A204" s="63">
        <v>5550</v>
      </c>
      <c r="B204" s="64" t="s">
        <v>625</v>
      </c>
      <c r="C204" s="65" t="s">
        <v>891</v>
      </c>
      <c r="D204" s="65" t="s">
        <v>1154</v>
      </c>
      <c r="E204" s="65" t="s">
        <v>1</v>
      </c>
      <c r="F204" s="65" t="s">
        <v>1389</v>
      </c>
      <c r="G204" s="65" t="s">
        <v>0</v>
      </c>
      <c r="H204" s="65" t="s">
        <v>1166</v>
      </c>
    </row>
    <row r="205" spans="1:8" s="66" customFormat="1" ht="18" customHeight="1" x14ac:dyDescent="0.3">
      <c r="A205" s="63">
        <v>5558</v>
      </c>
      <c r="B205" s="64" t="s">
        <v>626</v>
      </c>
      <c r="C205" s="65" t="s">
        <v>891</v>
      </c>
      <c r="D205" s="65" t="s">
        <v>1154</v>
      </c>
      <c r="E205" s="65" t="s">
        <v>2</v>
      </c>
      <c r="F205" s="65" t="s">
        <v>1390</v>
      </c>
      <c r="G205" s="65" t="s">
        <v>15</v>
      </c>
      <c r="H205" s="65" t="s">
        <v>1168</v>
      </c>
    </row>
    <row r="206" spans="1:8" s="66" customFormat="1" ht="18" customHeight="1" x14ac:dyDescent="0.3">
      <c r="A206" s="63">
        <v>5678</v>
      </c>
      <c r="B206" s="64" t="s">
        <v>627</v>
      </c>
      <c r="C206" s="65" t="s">
        <v>891</v>
      </c>
      <c r="D206" s="65" t="s">
        <v>1154</v>
      </c>
      <c r="E206" s="65" t="s">
        <v>473</v>
      </c>
      <c r="F206" s="65" t="s">
        <v>1391</v>
      </c>
      <c r="G206" s="65" t="s">
        <v>17</v>
      </c>
      <c r="H206" s="65" t="s">
        <v>1212</v>
      </c>
    </row>
    <row r="207" spans="1:8" s="66" customFormat="1" ht="18" customHeight="1" x14ac:dyDescent="0.3">
      <c r="A207" s="63">
        <v>5679</v>
      </c>
      <c r="B207" s="64" t="s">
        <v>628</v>
      </c>
      <c r="C207" s="65" t="s">
        <v>891</v>
      </c>
      <c r="D207" s="65" t="s">
        <v>1154</v>
      </c>
      <c r="E207" s="65" t="s">
        <v>482</v>
      </c>
      <c r="F207" s="65" t="s">
        <v>1392</v>
      </c>
      <c r="G207" s="65" t="s">
        <v>0</v>
      </c>
      <c r="H207" s="65" t="s">
        <v>1183</v>
      </c>
    </row>
    <row r="208" spans="1:8" s="66" customFormat="1" ht="18" customHeight="1" x14ac:dyDescent="0.3">
      <c r="A208" s="63">
        <v>5682</v>
      </c>
      <c r="B208" s="64" t="s">
        <v>629</v>
      </c>
      <c r="C208" s="65" t="s">
        <v>891</v>
      </c>
      <c r="D208" s="65" t="s">
        <v>1154</v>
      </c>
      <c r="E208" s="65" t="s">
        <v>1</v>
      </c>
      <c r="F208" s="65" t="s">
        <v>1393</v>
      </c>
      <c r="G208" s="65" t="s">
        <v>0</v>
      </c>
      <c r="H208" s="65" t="s">
        <v>1185</v>
      </c>
    </row>
    <row r="209" spans="1:8" s="66" customFormat="1" ht="18" customHeight="1" x14ac:dyDescent="0.3">
      <c r="A209" s="63">
        <v>5702</v>
      </c>
      <c r="B209" s="64" t="s">
        <v>630</v>
      </c>
      <c r="C209" s="65" t="s">
        <v>891</v>
      </c>
      <c r="D209" s="65" t="s">
        <v>1154</v>
      </c>
      <c r="E209" s="65" t="s">
        <v>2</v>
      </c>
      <c r="F209" s="65" t="s">
        <v>1394</v>
      </c>
      <c r="G209" s="65" t="s">
        <v>0</v>
      </c>
      <c r="H209" s="65" t="s">
        <v>1185</v>
      </c>
    </row>
    <row r="210" spans="1:8" s="66" customFormat="1" ht="18" customHeight="1" x14ac:dyDescent="0.3">
      <c r="A210" s="63">
        <v>5753</v>
      </c>
      <c r="B210" s="64" t="s">
        <v>631</v>
      </c>
      <c r="C210" s="65" t="s">
        <v>1169</v>
      </c>
      <c r="D210" s="65" t="s">
        <v>1154</v>
      </c>
      <c r="E210" s="65" t="s">
        <v>2</v>
      </c>
      <c r="F210" s="65" t="s">
        <v>1395</v>
      </c>
      <c r="G210" s="65" t="s">
        <v>6</v>
      </c>
      <c r="H210" s="65" t="s">
        <v>1171</v>
      </c>
    </row>
    <row r="211" spans="1:8" s="66" customFormat="1" ht="18" customHeight="1" x14ac:dyDescent="0.3">
      <c r="A211" s="63">
        <v>5762</v>
      </c>
      <c r="B211" s="64" t="s">
        <v>632</v>
      </c>
      <c r="C211" s="65" t="s">
        <v>1169</v>
      </c>
      <c r="D211" s="65" t="s">
        <v>1154</v>
      </c>
      <c r="E211" s="65" t="s">
        <v>1</v>
      </c>
      <c r="F211" s="65" t="s">
        <v>1396</v>
      </c>
      <c r="G211" s="65" t="s">
        <v>6</v>
      </c>
      <c r="H211" s="65" t="s">
        <v>1190</v>
      </c>
    </row>
    <row r="212" spans="1:8" s="66" customFormat="1" ht="18" customHeight="1" x14ac:dyDescent="0.3">
      <c r="A212" s="63">
        <v>5788</v>
      </c>
      <c r="B212" s="64" t="s">
        <v>633</v>
      </c>
      <c r="C212" s="65" t="s">
        <v>891</v>
      </c>
      <c r="D212" s="65" t="s">
        <v>1154</v>
      </c>
      <c r="E212" s="65" t="s">
        <v>1</v>
      </c>
      <c r="F212" s="65" t="s">
        <v>1397</v>
      </c>
      <c r="G212" s="65" t="s">
        <v>16</v>
      </c>
      <c r="H212" s="65" t="s">
        <v>1207</v>
      </c>
    </row>
    <row r="213" spans="1:8" s="66" customFormat="1" ht="18" customHeight="1" x14ac:dyDescent="0.3">
      <c r="A213" s="63">
        <v>5816</v>
      </c>
      <c r="B213" s="64" t="s">
        <v>634</v>
      </c>
      <c r="C213" s="65" t="s">
        <v>1169</v>
      </c>
      <c r="D213" s="65" t="s">
        <v>1220</v>
      </c>
      <c r="E213" s="65" t="s">
        <v>158</v>
      </c>
      <c r="F213" s="65" t="s">
        <v>1398</v>
      </c>
      <c r="G213" s="65" t="s">
        <v>6</v>
      </c>
      <c r="H213" s="65" t="s">
        <v>1262</v>
      </c>
    </row>
    <row r="214" spans="1:8" s="66" customFormat="1" ht="18" customHeight="1" x14ac:dyDescent="0.3">
      <c r="A214" s="63">
        <v>5817</v>
      </c>
      <c r="B214" s="64" t="s">
        <v>635</v>
      </c>
      <c r="C214" s="65" t="s">
        <v>1169</v>
      </c>
      <c r="D214" s="65" t="s">
        <v>1220</v>
      </c>
      <c r="E214" s="65" t="s">
        <v>158</v>
      </c>
      <c r="F214" s="65" t="s">
        <v>1399</v>
      </c>
      <c r="G214" s="65" t="s">
        <v>6</v>
      </c>
      <c r="H214" s="65" t="s">
        <v>1190</v>
      </c>
    </row>
    <row r="215" spans="1:8" s="66" customFormat="1" ht="18" customHeight="1" x14ac:dyDescent="0.3">
      <c r="A215" s="63">
        <v>5835</v>
      </c>
      <c r="B215" s="64" t="s">
        <v>1033</v>
      </c>
      <c r="C215" s="65" t="s">
        <v>891</v>
      </c>
      <c r="D215" s="65" t="s">
        <v>1220</v>
      </c>
      <c r="E215" s="65" t="s">
        <v>1025</v>
      </c>
      <c r="F215" s="65" t="s">
        <v>1400</v>
      </c>
      <c r="G215" s="65" t="s">
        <v>20</v>
      </c>
      <c r="H215" s="65" t="s">
        <v>1168</v>
      </c>
    </row>
    <row r="216" spans="1:8" s="66" customFormat="1" ht="18" customHeight="1" x14ac:dyDescent="0.3">
      <c r="A216" s="63">
        <v>5850</v>
      </c>
      <c r="B216" s="64" t="s">
        <v>636</v>
      </c>
      <c r="C216" s="65" t="s">
        <v>891</v>
      </c>
      <c r="D216" s="65" t="s">
        <v>1220</v>
      </c>
      <c r="E216" s="65" t="s">
        <v>158</v>
      </c>
      <c r="F216" s="65" t="s">
        <v>1401</v>
      </c>
      <c r="G216" s="65" t="s">
        <v>16</v>
      </c>
      <c r="H216" s="65" t="s">
        <v>1353</v>
      </c>
    </row>
    <row r="217" spans="1:8" s="66" customFormat="1" ht="18" customHeight="1" x14ac:dyDescent="0.3">
      <c r="A217" s="63">
        <v>5858</v>
      </c>
      <c r="B217" s="64" t="s">
        <v>637</v>
      </c>
      <c r="C217" s="65" t="s">
        <v>891</v>
      </c>
      <c r="D217" s="65" t="s">
        <v>1220</v>
      </c>
      <c r="E217" s="65" t="s">
        <v>158</v>
      </c>
      <c r="F217" s="65" t="s">
        <v>1402</v>
      </c>
      <c r="G217" s="65" t="s">
        <v>3</v>
      </c>
      <c r="H217" s="65" t="s">
        <v>1403</v>
      </c>
    </row>
    <row r="218" spans="1:8" s="66" customFormat="1" ht="18" customHeight="1" x14ac:dyDescent="0.3">
      <c r="A218" s="63">
        <v>5861</v>
      </c>
      <c r="B218" s="64" t="s">
        <v>638</v>
      </c>
      <c r="C218" s="65" t="s">
        <v>891</v>
      </c>
      <c r="D218" s="65" t="s">
        <v>1154</v>
      </c>
      <c r="E218" s="65" t="s">
        <v>473</v>
      </c>
      <c r="F218" s="65" t="s">
        <v>1404</v>
      </c>
      <c r="G218" s="65" t="s">
        <v>0</v>
      </c>
      <c r="H218" s="65" t="s">
        <v>1156</v>
      </c>
    </row>
    <row r="219" spans="1:8" s="66" customFormat="1" ht="18" customHeight="1" x14ac:dyDescent="0.3">
      <c r="A219" s="63">
        <v>5862</v>
      </c>
      <c r="B219" s="64" t="s">
        <v>639</v>
      </c>
      <c r="C219" s="65" t="s">
        <v>891</v>
      </c>
      <c r="D219" s="65" t="s">
        <v>1154</v>
      </c>
      <c r="E219" s="65" t="s">
        <v>482</v>
      </c>
      <c r="F219" s="65" t="s">
        <v>1405</v>
      </c>
      <c r="G219" s="65" t="s">
        <v>0</v>
      </c>
      <c r="H219" s="65" t="s">
        <v>1166</v>
      </c>
    </row>
    <row r="220" spans="1:8" s="66" customFormat="1" ht="18" customHeight="1" x14ac:dyDescent="0.3">
      <c r="A220" s="63">
        <v>5864</v>
      </c>
      <c r="B220" s="64" t="s">
        <v>640</v>
      </c>
      <c r="C220" s="65" t="s">
        <v>891</v>
      </c>
      <c r="D220" s="65" t="s">
        <v>1154</v>
      </c>
      <c r="E220" s="65" t="s">
        <v>473</v>
      </c>
      <c r="F220" s="65" t="s">
        <v>1406</v>
      </c>
      <c r="G220" s="65" t="s">
        <v>3</v>
      </c>
      <c r="H220" s="65" t="s">
        <v>1403</v>
      </c>
    </row>
    <row r="221" spans="1:8" s="66" customFormat="1" ht="18" customHeight="1" x14ac:dyDescent="0.3">
      <c r="A221" s="63">
        <v>5868</v>
      </c>
      <c r="B221" s="64" t="s">
        <v>641</v>
      </c>
      <c r="C221" s="65" t="s">
        <v>891</v>
      </c>
      <c r="D221" s="65" t="s">
        <v>1154</v>
      </c>
      <c r="E221" s="65" t="s">
        <v>473</v>
      </c>
      <c r="F221" s="65" t="s">
        <v>1407</v>
      </c>
      <c r="G221" s="65" t="s">
        <v>3</v>
      </c>
      <c r="H221" s="65" t="s">
        <v>1164</v>
      </c>
    </row>
    <row r="222" spans="1:8" s="66" customFormat="1" ht="18" customHeight="1" x14ac:dyDescent="0.3">
      <c r="A222" s="63">
        <v>5869</v>
      </c>
      <c r="B222" s="64" t="s">
        <v>642</v>
      </c>
      <c r="C222" s="65" t="s">
        <v>891</v>
      </c>
      <c r="D222" s="65" t="s">
        <v>4</v>
      </c>
      <c r="E222" s="65" t="s">
        <v>4</v>
      </c>
      <c r="F222" s="65" t="s">
        <v>1408</v>
      </c>
      <c r="G222" s="65" t="s">
        <v>0</v>
      </c>
      <c r="H222" s="65" t="s">
        <v>1156</v>
      </c>
    </row>
    <row r="223" spans="1:8" s="66" customFormat="1" ht="18" customHeight="1" x14ac:dyDescent="0.3">
      <c r="A223" s="63">
        <v>5870</v>
      </c>
      <c r="B223" s="64" t="s">
        <v>643</v>
      </c>
      <c r="C223" s="65" t="s">
        <v>891</v>
      </c>
      <c r="D223" s="65" t="s">
        <v>1154</v>
      </c>
      <c r="E223" s="65" t="s">
        <v>1</v>
      </c>
      <c r="F223" s="65" t="s">
        <v>1409</v>
      </c>
      <c r="G223" s="65" t="s">
        <v>3</v>
      </c>
      <c r="H223" s="65" t="s">
        <v>1376</v>
      </c>
    </row>
    <row r="224" spans="1:8" s="66" customFormat="1" ht="18" customHeight="1" x14ac:dyDescent="0.3">
      <c r="A224" s="63">
        <v>5871</v>
      </c>
      <c r="B224" s="64" t="s">
        <v>644</v>
      </c>
      <c r="C224" s="65" t="s">
        <v>891</v>
      </c>
      <c r="D224" s="65" t="s">
        <v>1154</v>
      </c>
      <c r="E224" s="65" t="s">
        <v>1</v>
      </c>
      <c r="F224" s="65" t="s">
        <v>1410</v>
      </c>
      <c r="G224" s="65" t="s">
        <v>3</v>
      </c>
      <c r="H224" s="65" t="s">
        <v>1164</v>
      </c>
    </row>
    <row r="225" spans="1:8" s="66" customFormat="1" ht="18" customHeight="1" x14ac:dyDescent="0.3">
      <c r="A225" s="63">
        <v>5873</v>
      </c>
      <c r="B225" s="64" t="s">
        <v>645</v>
      </c>
      <c r="C225" s="65" t="s">
        <v>891</v>
      </c>
      <c r="D225" s="65" t="s">
        <v>1154</v>
      </c>
      <c r="E225" s="65" t="s">
        <v>473</v>
      </c>
      <c r="F225" s="65" t="s">
        <v>1411</v>
      </c>
      <c r="G225" s="65" t="s">
        <v>3</v>
      </c>
      <c r="H225" s="65" t="s">
        <v>1403</v>
      </c>
    </row>
    <row r="226" spans="1:8" s="66" customFormat="1" ht="18" customHeight="1" x14ac:dyDescent="0.3">
      <c r="A226" s="63">
        <v>5897</v>
      </c>
      <c r="B226" s="64" t="s">
        <v>646</v>
      </c>
      <c r="C226" s="65" t="s">
        <v>1169</v>
      </c>
      <c r="D226" s="65" t="s">
        <v>1154</v>
      </c>
      <c r="E226" s="65" t="s">
        <v>1</v>
      </c>
      <c r="F226" s="65" t="s">
        <v>1412</v>
      </c>
      <c r="G226" s="65" t="s">
        <v>154</v>
      </c>
      <c r="H226" s="65" t="s">
        <v>1168</v>
      </c>
    </row>
    <row r="227" spans="1:8" s="66" customFormat="1" ht="18" customHeight="1" x14ac:dyDescent="0.3">
      <c r="A227" s="63">
        <v>5900</v>
      </c>
      <c r="B227" s="64" t="s">
        <v>1413</v>
      </c>
      <c r="C227" s="65" t="s">
        <v>1344</v>
      </c>
      <c r="D227" s="65" t="s">
        <v>1154</v>
      </c>
      <c r="E227" s="65" t="s">
        <v>1</v>
      </c>
      <c r="F227" s="65" t="s">
        <v>1414</v>
      </c>
      <c r="G227" s="65" t="s">
        <v>1346</v>
      </c>
      <c r="H227" s="65" t="s">
        <v>1168</v>
      </c>
    </row>
    <row r="228" spans="1:8" s="66" customFormat="1" ht="18" customHeight="1" x14ac:dyDescent="0.3">
      <c r="A228" s="67">
        <v>5903</v>
      </c>
      <c r="B228" s="68" t="s">
        <v>2067</v>
      </c>
      <c r="C228" s="69" t="s">
        <v>891</v>
      </c>
      <c r="D228" s="67" t="s">
        <v>1220</v>
      </c>
      <c r="E228" s="67" t="s">
        <v>158</v>
      </c>
      <c r="F228" s="67" t="s">
        <v>2094</v>
      </c>
      <c r="G228" s="67" t="s">
        <v>2108</v>
      </c>
      <c r="H228" s="65" t="s">
        <v>1168</v>
      </c>
    </row>
    <row r="229" spans="1:8" s="66" customFormat="1" ht="18" customHeight="1" x14ac:dyDescent="0.3">
      <c r="A229" s="67">
        <v>5903</v>
      </c>
      <c r="B229" s="68" t="s">
        <v>2067</v>
      </c>
      <c r="C229" s="67" t="s">
        <v>891</v>
      </c>
      <c r="D229" s="67" t="s">
        <v>1220</v>
      </c>
      <c r="E229" s="67" t="s">
        <v>158</v>
      </c>
      <c r="F229" s="67" t="s">
        <v>2094</v>
      </c>
      <c r="G229" s="67" t="s">
        <v>2108</v>
      </c>
      <c r="H229" s="65" t="s">
        <v>1168</v>
      </c>
    </row>
    <row r="230" spans="1:8" s="66" customFormat="1" ht="18" customHeight="1" x14ac:dyDescent="0.3">
      <c r="A230" s="63">
        <v>5912</v>
      </c>
      <c r="B230" s="64" t="s">
        <v>285</v>
      </c>
      <c r="C230" s="65" t="s">
        <v>891</v>
      </c>
      <c r="D230" s="65" t="s">
        <v>1220</v>
      </c>
      <c r="E230" s="65" t="s">
        <v>158</v>
      </c>
      <c r="F230" s="65" t="s">
        <v>1415</v>
      </c>
      <c r="G230" s="65" t="s">
        <v>0</v>
      </c>
      <c r="H230" s="65" t="s">
        <v>1305</v>
      </c>
    </row>
    <row r="231" spans="1:8" s="66" customFormat="1" ht="18" customHeight="1" x14ac:dyDescent="0.3">
      <c r="A231" s="63">
        <v>5923</v>
      </c>
      <c r="B231" s="64" t="s">
        <v>647</v>
      </c>
      <c r="C231" s="65" t="s">
        <v>891</v>
      </c>
      <c r="D231" s="65" t="s">
        <v>1154</v>
      </c>
      <c r="E231" s="65" t="s">
        <v>473</v>
      </c>
      <c r="F231" s="65" t="s">
        <v>1416</v>
      </c>
      <c r="G231" s="65" t="s">
        <v>8</v>
      </c>
      <c r="H231" s="65" t="s">
        <v>1417</v>
      </c>
    </row>
    <row r="232" spans="1:8" s="66" customFormat="1" ht="18" customHeight="1" x14ac:dyDescent="0.3">
      <c r="A232" s="63">
        <v>6021</v>
      </c>
      <c r="B232" s="64" t="s">
        <v>338</v>
      </c>
      <c r="C232" s="65" t="s">
        <v>891</v>
      </c>
      <c r="D232" s="65" t="s">
        <v>1220</v>
      </c>
      <c r="E232" s="65" t="s">
        <v>158</v>
      </c>
      <c r="F232" s="65" t="s">
        <v>1418</v>
      </c>
      <c r="G232" s="65" t="s">
        <v>3</v>
      </c>
      <c r="H232" s="65" t="s">
        <v>1403</v>
      </c>
    </row>
    <row r="233" spans="1:8" s="66" customFormat="1" ht="18" customHeight="1" x14ac:dyDescent="0.3">
      <c r="A233" s="63">
        <v>6024</v>
      </c>
      <c r="B233" s="64" t="s">
        <v>294</v>
      </c>
      <c r="C233" s="65" t="s">
        <v>891</v>
      </c>
      <c r="D233" s="65" t="s">
        <v>549</v>
      </c>
      <c r="E233" s="65" t="s">
        <v>549</v>
      </c>
      <c r="F233" s="65" t="s">
        <v>1419</v>
      </c>
      <c r="G233" s="65" t="s">
        <v>0</v>
      </c>
      <c r="H233" s="65" t="s">
        <v>1156</v>
      </c>
    </row>
    <row r="234" spans="1:8" s="66" customFormat="1" ht="18" customHeight="1" x14ac:dyDescent="0.3">
      <c r="A234" s="63">
        <v>6056</v>
      </c>
      <c r="B234" s="64" t="s">
        <v>277</v>
      </c>
      <c r="C234" s="65" t="s">
        <v>891</v>
      </c>
      <c r="D234" s="65" t="s">
        <v>1154</v>
      </c>
      <c r="E234" s="65" t="s">
        <v>1</v>
      </c>
      <c r="F234" s="65" t="s">
        <v>1420</v>
      </c>
      <c r="G234" s="65" t="s">
        <v>3</v>
      </c>
      <c r="H234" s="65" t="s">
        <v>1164</v>
      </c>
    </row>
    <row r="235" spans="1:8" s="66" customFormat="1" ht="18" customHeight="1" x14ac:dyDescent="0.3">
      <c r="A235" s="63">
        <v>6057</v>
      </c>
      <c r="B235" s="64" t="s">
        <v>296</v>
      </c>
      <c r="C235" s="65" t="s">
        <v>891</v>
      </c>
      <c r="D235" s="65" t="s">
        <v>1154</v>
      </c>
      <c r="E235" s="65" t="s">
        <v>1</v>
      </c>
      <c r="F235" s="65" t="s">
        <v>1421</v>
      </c>
      <c r="G235" s="65" t="s">
        <v>0</v>
      </c>
      <c r="H235" s="65" t="s">
        <v>1156</v>
      </c>
    </row>
    <row r="236" spans="1:8" s="66" customFormat="1" ht="18" customHeight="1" x14ac:dyDescent="0.3">
      <c r="A236" s="63">
        <v>6075</v>
      </c>
      <c r="B236" s="64" t="s">
        <v>278</v>
      </c>
      <c r="C236" s="65" t="s">
        <v>1169</v>
      </c>
      <c r="D236" s="65" t="s">
        <v>537</v>
      </c>
      <c r="E236" s="65" t="s">
        <v>537</v>
      </c>
      <c r="F236" s="65" t="s">
        <v>1422</v>
      </c>
      <c r="G236" s="65" t="s">
        <v>6</v>
      </c>
      <c r="H236" s="65" t="s">
        <v>1262</v>
      </c>
    </row>
    <row r="237" spans="1:8" s="66" customFormat="1" ht="18" customHeight="1" x14ac:dyDescent="0.3">
      <c r="A237" s="63">
        <v>6081</v>
      </c>
      <c r="B237" s="64" t="s">
        <v>794</v>
      </c>
      <c r="C237" s="65" t="s">
        <v>891</v>
      </c>
      <c r="D237" s="65" t="s">
        <v>4</v>
      </c>
      <c r="E237" s="65" t="s">
        <v>4</v>
      </c>
      <c r="F237" s="65" t="s">
        <v>1423</v>
      </c>
      <c r="G237" s="65" t="s">
        <v>12</v>
      </c>
      <c r="H237" s="65" t="s">
        <v>1168</v>
      </c>
    </row>
    <row r="238" spans="1:8" s="66" customFormat="1" ht="18" customHeight="1" x14ac:dyDescent="0.3">
      <c r="A238" s="63">
        <v>6086</v>
      </c>
      <c r="B238" s="64" t="s">
        <v>279</v>
      </c>
      <c r="C238" s="65" t="s">
        <v>891</v>
      </c>
      <c r="D238" s="65" t="s">
        <v>4</v>
      </c>
      <c r="E238" s="65" t="s">
        <v>4</v>
      </c>
      <c r="F238" s="65" t="s">
        <v>1424</v>
      </c>
      <c r="G238" s="65" t="s">
        <v>0</v>
      </c>
      <c r="H238" s="65" t="s">
        <v>1156</v>
      </c>
    </row>
    <row r="239" spans="1:8" s="66" customFormat="1" ht="18" customHeight="1" x14ac:dyDescent="0.3">
      <c r="A239" s="63">
        <v>6137</v>
      </c>
      <c r="B239" s="64" t="s">
        <v>286</v>
      </c>
      <c r="C239" s="65" t="s">
        <v>891</v>
      </c>
      <c r="D239" s="65" t="s">
        <v>1220</v>
      </c>
      <c r="E239" s="65" t="s">
        <v>158</v>
      </c>
      <c r="F239" s="65" t="s">
        <v>1425</v>
      </c>
      <c r="G239" s="65" t="s">
        <v>11</v>
      </c>
      <c r="H239" s="65" t="s">
        <v>1168</v>
      </c>
    </row>
    <row r="240" spans="1:8" s="66" customFormat="1" ht="18" customHeight="1" x14ac:dyDescent="0.3">
      <c r="A240" s="63">
        <v>6144</v>
      </c>
      <c r="B240" s="64" t="s">
        <v>287</v>
      </c>
      <c r="C240" s="65" t="s">
        <v>891</v>
      </c>
      <c r="D240" s="65" t="s">
        <v>1220</v>
      </c>
      <c r="E240" s="65" t="s">
        <v>158</v>
      </c>
      <c r="F240" s="65" t="s">
        <v>1426</v>
      </c>
      <c r="G240" s="65" t="s">
        <v>21</v>
      </c>
      <c r="H240" s="65" t="s">
        <v>1168</v>
      </c>
    </row>
    <row r="241" spans="1:8" s="66" customFormat="1" ht="18" customHeight="1" x14ac:dyDescent="0.3">
      <c r="A241" s="63">
        <v>6146</v>
      </c>
      <c r="B241" s="64" t="s">
        <v>280</v>
      </c>
      <c r="C241" s="65" t="s">
        <v>891</v>
      </c>
      <c r="D241" s="65" t="s">
        <v>1154</v>
      </c>
      <c r="E241" s="65" t="s">
        <v>482</v>
      </c>
      <c r="F241" s="65" t="s">
        <v>1427</v>
      </c>
      <c r="G241" s="65" t="s">
        <v>17</v>
      </c>
      <c r="H241" s="65" t="s">
        <v>1212</v>
      </c>
    </row>
    <row r="242" spans="1:8" s="66" customFormat="1" ht="18" customHeight="1" x14ac:dyDescent="0.3">
      <c r="A242" s="63">
        <v>6176</v>
      </c>
      <c r="B242" s="64" t="s">
        <v>1428</v>
      </c>
      <c r="C242" s="65" t="s">
        <v>1344</v>
      </c>
      <c r="D242" s="65" t="s">
        <v>1220</v>
      </c>
      <c r="E242" s="65" t="s">
        <v>158</v>
      </c>
      <c r="F242" s="65" t="s">
        <v>1429</v>
      </c>
      <c r="G242" s="65" t="s">
        <v>1346</v>
      </c>
      <c r="H242" s="65" t="s">
        <v>1430</v>
      </c>
    </row>
    <row r="243" spans="1:8" s="66" customFormat="1" ht="18" customHeight="1" x14ac:dyDescent="0.3">
      <c r="A243" s="63">
        <v>6194</v>
      </c>
      <c r="B243" s="64" t="s">
        <v>281</v>
      </c>
      <c r="C243" s="65" t="s">
        <v>891</v>
      </c>
      <c r="D243" s="65" t="s">
        <v>1154</v>
      </c>
      <c r="E243" s="65" t="s">
        <v>1</v>
      </c>
      <c r="F243" s="65" t="s">
        <v>1431</v>
      </c>
      <c r="G243" s="65" t="s">
        <v>0</v>
      </c>
      <c r="H243" s="65" t="s">
        <v>1185</v>
      </c>
    </row>
    <row r="244" spans="1:8" s="66" customFormat="1" ht="18" customHeight="1" x14ac:dyDescent="0.3">
      <c r="A244" s="63">
        <v>6197</v>
      </c>
      <c r="B244" s="64" t="s">
        <v>282</v>
      </c>
      <c r="C244" s="65" t="s">
        <v>891</v>
      </c>
      <c r="D244" s="65" t="s">
        <v>1154</v>
      </c>
      <c r="E244" s="65" t="s">
        <v>1</v>
      </c>
      <c r="F244" s="65" t="s">
        <v>1432</v>
      </c>
      <c r="G244" s="65" t="s">
        <v>0</v>
      </c>
      <c r="H244" s="65" t="s">
        <v>1239</v>
      </c>
    </row>
    <row r="245" spans="1:8" s="66" customFormat="1" ht="18" customHeight="1" x14ac:dyDescent="0.3">
      <c r="A245" s="63">
        <v>6198</v>
      </c>
      <c r="B245" s="64" t="s">
        <v>283</v>
      </c>
      <c r="C245" s="65" t="s">
        <v>1169</v>
      </c>
      <c r="D245" s="65" t="s">
        <v>1154</v>
      </c>
      <c r="E245" s="65" t="s">
        <v>1</v>
      </c>
      <c r="F245" s="65" t="s">
        <v>1433</v>
      </c>
      <c r="G245" s="65" t="s">
        <v>6</v>
      </c>
      <c r="H245" s="65" t="s">
        <v>1190</v>
      </c>
    </row>
    <row r="246" spans="1:8" s="66" customFormat="1" ht="18" customHeight="1" x14ac:dyDescent="0.3">
      <c r="A246" s="63">
        <v>6199</v>
      </c>
      <c r="B246" s="64" t="s">
        <v>284</v>
      </c>
      <c r="C246" s="65" t="s">
        <v>891</v>
      </c>
      <c r="D246" s="65" t="s">
        <v>1154</v>
      </c>
      <c r="E246" s="65" t="s">
        <v>1</v>
      </c>
      <c r="F246" s="65" t="s">
        <v>1434</v>
      </c>
      <c r="G246" s="65" t="s">
        <v>14</v>
      </c>
      <c r="H246" s="65" t="s">
        <v>1168</v>
      </c>
    </row>
    <row r="247" spans="1:8" s="66" customFormat="1" ht="18" customHeight="1" x14ac:dyDescent="0.3">
      <c r="A247" s="63">
        <v>6203</v>
      </c>
      <c r="B247" s="64" t="s">
        <v>288</v>
      </c>
      <c r="C247" s="65" t="s">
        <v>891</v>
      </c>
      <c r="D247" s="65" t="s">
        <v>1220</v>
      </c>
      <c r="E247" s="65" t="s">
        <v>158</v>
      </c>
      <c r="F247" s="65" t="s">
        <v>1435</v>
      </c>
      <c r="G247" s="65" t="s">
        <v>17</v>
      </c>
      <c r="H247" s="65" t="s">
        <v>1247</v>
      </c>
    </row>
    <row r="248" spans="1:8" s="66" customFormat="1" ht="18" customHeight="1" x14ac:dyDescent="0.3">
      <c r="A248" s="63">
        <v>6204</v>
      </c>
      <c r="B248" s="64" t="s">
        <v>289</v>
      </c>
      <c r="C248" s="65" t="s">
        <v>891</v>
      </c>
      <c r="D248" s="65" t="s">
        <v>1220</v>
      </c>
      <c r="E248" s="65" t="s">
        <v>158</v>
      </c>
      <c r="F248" s="65" t="s">
        <v>1436</v>
      </c>
      <c r="G248" s="65" t="s">
        <v>17</v>
      </c>
      <c r="H248" s="65" t="s">
        <v>1212</v>
      </c>
    </row>
    <row r="249" spans="1:8" s="66" customFormat="1" ht="18" customHeight="1" x14ac:dyDescent="0.3">
      <c r="A249" s="63">
        <v>6224</v>
      </c>
      <c r="B249" s="64" t="s">
        <v>290</v>
      </c>
      <c r="C249" s="65" t="s">
        <v>891</v>
      </c>
      <c r="D249" s="65" t="s">
        <v>1220</v>
      </c>
      <c r="E249" s="65" t="s">
        <v>158</v>
      </c>
      <c r="F249" s="65" t="s">
        <v>1437</v>
      </c>
      <c r="G249" s="65" t="s">
        <v>0</v>
      </c>
      <c r="H249" s="65" t="s">
        <v>1156</v>
      </c>
    </row>
    <row r="250" spans="1:8" s="66" customFormat="1" ht="18" customHeight="1" x14ac:dyDescent="0.3">
      <c r="A250" s="63">
        <v>6244</v>
      </c>
      <c r="B250" s="64" t="s">
        <v>291</v>
      </c>
      <c r="C250" s="65" t="s">
        <v>891</v>
      </c>
      <c r="D250" s="65" t="s">
        <v>1220</v>
      </c>
      <c r="E250" s="65" t="s">
        <v>158</v>
      </c>
      <c r="F250" s="65" t="s">
        <v>1438</v>
      </c>
      <c r="G250" s="65" t="s">
        <v>21</v>
      </c>
      <c r="H250" s="65" t="s">
        <v>1168</v>
      </c>
    </row>
    <row r="251" spans="1:8" s="66" customFormat="1" ht="18" customHeight="1" x14ac:dyDescent="0.3">
      <c r="A251" s="63">
        <v>6246</v>
      </c>
      <c r="B251" s="64" t="s">
        <v>292</v>
      </c>
      <c r="C251" s="65" t="s">
        <v>891</v>
      </c>
      <c r="D251" s="65" t="s">
        <v>1220</v>
      </c>
      <c r="E251" s="65" t="s">
        <v>158</v>
      </c>
      <c r="F251" s="65" t="s">
        <v>1439</v>
      </c>
      <c r="G251" s="65" t="s">
        <v>17</v>
      </c>
      <c r="H251" s="65" t="s">
        <v>1212</v>
      </c>
    </row>
    <row r="252" spans="1:8" s="66" customFormat="1" ht="18" customHeight="1" x14ac:dyDescent="0.3">
      <c r="A252" s="63">
        <v>6254</v>
      </c>
      <c r="B252" s="64" t="s">
        <v>293</v>
      </c>
      <c r="C252" s="65" t="s">
        <v>891</v>
      </c>
      <c r="D252" s="65" t="s">
        <v>1220</v>
      </c>
      <c r="E252" s="65" t="s">
        <v>158</v>
      </c>
      <c r="F252" s="65" t="s">
        <v>1440</v>
      </c>
      <c r="G252" s="65" t="s">
        <v>11</v>
      </c>
      <c r="H252" s="65" t="s">
        <v>1168</v>
      </c>
    </row>
    <row r="253" spans="1:8" s="66" customFormat="1" ht="18" customHeight="1" x14ac:dyDescent="0.3">
      <c r="A253" s="63">
        <v>6281</v>
      </c>
      <c r="B253" s="64" t="s">
        <v>648</v>
      </c>
      <c r="C253" s="65" t="s">
        <v>891</v>
      </c>
      <c r="D253" s="65" t="s">
        <v>1154</v>
      </c>
      <c r="E253" s="65" t="s">
        <v>2</v>
      </c>
      <c r="F253" s="65" t="s">
        <v>1441</v>
      </c>
      <c r="G253" s="65" t="s">
        <v>0</v>
      </c>
      <c r="H253" s="65" t="s">
        <v>1156</v>
      </c>
    </row>
    <row r="254" spans="1:8" s="66" customFormat="1" ht="18" customHeight="1" x14ac:dyDescent="0.3">
      <c r="A254" s="63">
        <v>6286</v>
      </c>
      <c r="B254" s="64" t="s">
        <v>1034</v>
      </c>
      <c r="C254" s="65" t="s">
        <v>891</v>
      </c>
      <c r="D254" s="65" t="s">
        <v>1154</v>
      </c>
      <c r="E254" s="65" t="s">
        <v>1035</v>
      </c>
      <c r="F254" s="65" t="s">
        <v>1442</v>
      </c>
      <c r="G254" s="65" t="s">
        <v>0</v>
      </c>
      <c r="H254" s="65" t="s">
        <v>1156</v>
      </c>
    </row>
    <row r="255" spans="1:8" s="66" customFormat="1" ht="18" customHeight="1" x14ac:dyDescent="0.3">
      <c r="A255" s="63">
        <v>6289</v>
      </c>
      <c r="B255" s="64" t="s">
        <v>1036</v>
      </c>
      <c r="C255" s="65" t="s">
        <v>891</v>
      </c>
      <c r="D255" s="65" t="s">
        <v>1154</v>
      </c>
      <c r="E255" s="65" t="s">
        <v>1035</v>
      </c>
      <c r="F255" s="65" t="s">
        <v>1424</v>
      </c>
      <c r="G255" s="65" t="s">
        <v>0</v>
      </c>
      <c r="H255" s="65" t="s">
        <v>1156</v>
      </c>
    </row>
    <row r="256" spans="1:8" s="66" customFormat="1" ht="18" customHeight="1" x14ac:dyDescent="0.3">
      <c r="A256" s="63">
        <v>6304</v>
      </c>
      <c r="B256" s="64" t="s">
        <v>339</v>
      </c>
      <c r="C256" s="65" t="s">
        <v>891</v>
      </c>
      <c r="D256" s="65" t="s">
        <v>1220</v>
      </c>
      <c r="E256" s="65" t="s">
        <v>158</v>
      </c>
      <c r="F256" s="65" t="s">
        <v>1443</v>
      </c>
      <c r="G256" s="65" t="s">
        <v>18</v>
      </c>
      <c r="H256" s="65" t="s">
        <v>1444</v>
      </c>
    </row>
    <row r="257" spans="1:8" s="66" customFormat="1" ht="18" customHeight="1" x14ac:dyDescent="0.3">
      <c r="A257" s="63">
        <v>6320</v>
      </c>
      <c r="B257" s="64" t="s">
        <v>340</v>
      </c>
      <c r="C257" s="65" t="s">
        <v>891</v>
      </c>
      <c r="D257" s="65" t="s">
        <v>1220</v>
      </c>
      <c r="E257" s="65" t="s">
        <v>158</v>
      </c>
      <c r="F257" s="65" t="s">
        <v>1445</v>
      </c>
      <c r="G257" s="65" t="s">
        <v>12</v>
      </c>
      <c r="H257" s="65" t="s">
        <v>1446</v>
      </c>
    </row>
    <row r="258" spans="1:8" s="66" customFormat="1" ht="18" customHeight="1" x14ac:dyDescent="0.3">
      <c r="A258" s="63">
        <v>6327</v>
      </c>
      <c r="B258" s="64" t="s">
        <v>336</v>
      </c>
      <c r="C258" s="65" t="s">
        <v>891</v>
      </c>
      <c r="D258" s="65" t="s">
        <v>549</v>
      </c>
      <c r="E258" s="65" t="s">
        <v>549</v>
      </c>
      <c r="F258" s="65" t="s">
        <v>1447</v>
      </c>
      <c r="G258" s="65" t="s">
        <v>0</v>
      </c>
      <c r="H258" s="65" t="s">
        <v>1156</v>
      </c>
    </row>
    <row r="259" spans="1:8" s="66" customFormat="1" ht="18" customHeight="1" x14ac:dyDescent="0.3">
      <c r="A259" s="63">
        <v>6328</v>
      </c>
      <c r="B259" s="64" t="s">
        <v>337</v>
      </c>
      <c r="C259" s="65" t="s">
        <v>891</v>
      </c>
      <c r="D259" s="65" t="s">
        <v>549</v>
      </c>
      <c r="E259" s="65" t="s">
        <v>549</v>
      </c>
      <c r="F259" s="65" t="s">
        <v>1448</v>
      </c>
      <c r="G259" s="65" t="s">
        <v>0</v>
      </c>
      <c r="H259" s="65" t="s">
        <v>1156</v>
      </c>
    </row>
    <row r="260" spans="1:8" s="66" customFormat="1" ht="18" customHeight="1" x14ac:dyDescent="0.3">
      <c r="A260" s="63">
        <v>6334</v>
      </c>
      <c r="B260" s="64" t="s">
        <v>298</v>
      </c>
      <c r="C260" s="65" t="s">
        <v>891</v>
      </c>
      <c r="D260" s="65" t="s">
        <v>1154</v>
      </c>
      <c r="E260" s="65" t="s">
        <v>2</v>
      </c>
      <c r="F260" s="65" t="s">
        <v>1449</v>
      </c>
      <c r="G260" s="65" t="s">
        <v>0</v>
      </c>
      <c r="H260" s="65" t="s">
        <v>1156</v>
      </c>
    </row>
    <row r="261" spans="1:8" s="66" customFormat="1" ht="18" customHeight="1" x14ac:dyDescent="0.3">
      <c r="A261" s="63">
        <v>6350</v>
      </c>
      <c r="B261" s="64" t="s">
        <v>299</v>
      </c>
      <c r="C261" s="65" t="s">
        <v>1169</v>
      </c>
      <c r="D261" s="65" t="s">
        <v>1154</v>
      </c>
      <c r="E261" s="65" t="s">
        <v>1</v>
      </c>
      <c r="F261" s="65" t="s">
        <v>1450</v>
      </c>
      <c r="G261" s="65" t="s">
        <v>6</v>
      </c>
      <c r="H261" s="65" t="s">
        <v>1190</v>
      </c>
    </row>
    <row r="262" spans="1:8" s="66" customFormat="1" ht="18" customHeight="1" x14ac:dyDescent="0.3">
      <c r="A262" s="63">
        <v>6367</v>
      </c>
      <c r="B262" s="64" t="s">
        <v>341</v>
      </c>
      <c r="C262" s="65" t="s">
        <v>891</v>
      </c>
      <c r="D262" s="65" t="s">
        <v>1220</v>
      </c>
      <c r="E262" s="65" t="s">
        <v>158</v>
      </c>
      <c r="F262" s="65" t="s">
        <v>1451</v>
      </c>
      <c r="G262" s="65" t="s">
        <v>11</v>
      </c>
      <c r="H262" s="65" t="s">
        <v>1236</v>
      </c>
    </row>
    <row r="263" spans="1:8" s="66" customFormat="1" ht="18" customHeight="1" x14ac:dyDescent="0.3">
      <c r="A263" s="63">
        <v>6375</v>
      </c>
      <c r="B263" s="64" t="s">
        <v>1037</v>
      </c>
      <c r="C263" s="65" t="s">
        <v>891</v>
      </c>
      <c r="D263" s="65" t="s">
        <v>1154</v>
      </c>
      <c r="E263" s="65" t="s">
        <v>1035</v>
      </c>
      <c r="F263" s="65" t="s">
        <v>1452</v>
      </c>
      <c r="G263" s="65" t="s">
        <v>0</v>
      </c>
      <c r="H263" s="65" t="s">
        <v>1156</v>
      </c>
    </row>
    <row r="264" spans="1:8" s="66" customFormat="1" ht="18" customHeight="1" x14ac:dyDescent="0.3">
      <c r="A264" s="63">
        <v>6389</v>
      </c>
      <c r="B264" s="64" t="s">
        <v>300</v>
      </c>
      <c r="C264" s="65" t="s">
        <v>891</v>
      </c>
      <c r="D264" s="65" t="s">
        <v>1154</v>
      </c>
      <c r="E264" s="65" t="s">
        <v>1</v>
      </c>
      <c r="F264" s="65" t="s">
        <v>1453</v>
      </c>
      <c r="G264" s="65" t="s">
        <v>3</v>
      </c>
      <c r="H264" s="65" t="s">
        <v>1164</v>
      </c>
    </row>
    <row r="265" spans="1:8" s="66" customFormat="1" ht="18" customHeight="1" x14ac:dyDescent="0.3">
      <c r="A265" s="63">
        <v>6392</v>
      </c>
      <c r="B265" s="64" t="s">
        <v>301</v>
      </c>
      <c r="C265" s="65" t="s">
        <v>891</v>
      </c>
      <c r="D265" s="65" t="s">
        <v>1154</v>
      </c>
      <c r="E265" s="65" t="s">
        <v>1</v>
      </c>
      <c r="F265" s="65" t="s">
        <v>1454</v>
      </c>
      <c r="G265" s="65" t="s">
        <v>0</v>
      </c>
      <c r="H265" s="65" t="s">
        <v>1166</v>
      </c>
    </row>
    <row r="266" spans="1:8" s="66" customFormat="1" ht="18" customHeight="1" x14ac:dyDescent="0.3">
      <c r="A266" s="63">
        <v>6395</v>
      </c>
      <c r="B266" s="64" t="s">
        <v>342</v>
      </c>
      <c r="C266" s="65" t="s">
        <v>891</v>
      </c>
      <c r="D266" s="65" t="s">
        <v>1220</v>
      </c>
      <c r="E266" s="65" t="s">
        <v>158</v>
      </c>
      <c r="F266" s="65" t="s">
        <v>1455</v>
      </c>
      <c r="G266" s="65" t="s">
        <v>3</v>
      </c>
      <c r="H266" s="65" t="s">
        <v>1376</v>
      </c>
    </row>
    <row r="267" spans="1:8" s="66" customFormat="1" ht="18" customHeight="1" x14ac:dyDescent="0.3">
      <c r="A267" s="63">
        <v>6398</v>
      </c>
      <c r="B267" s="64" t="s">
        <v>343</v>
      </c>
      <c r="C267" s="65" t="s">
        <v>891</v>
      </c>
      <c r="D267" s="65" t="s">
        <v>1220</v>
      </c>
      <c r="E267" s="65" t="s">
        <v>158</v>
      </c>
      <c r="F267" s="65" t="s">
        <v>1456</v>
      </c>
      <c r="G267" s="65" t="s">
        <v>0</v>
      </c>
      <c r="H267" s="65" t="s">
        <v>1185</v>
      </c>
    </row>
    <row r="268" spans="1:8" s="66" customFormat="1" ht="18" customHeight="1" x14ac:dyDescent="0.3">
      <c r="A268" s="63">
        <v>6408</v>
      </c>
      <c r="B268" s="64" t="s">
        <v>302</v>
      </c>
      <c r="C268" s="65" t="s">
        <v>1169</v>
      </c>
      <c r="D268" s="65" t="s">
        <v>1154</v>
      </c>
      <c r="E268" s="65" t="s">
        <v>473</v>
      </c>
      <c r="F268" s="65" t="s">
        <v>1457</v>
      </c>
      <c r="G268" s="65" t="s">
        <v>156</v>
      </c>
      <c r="H268" s="65" t="s">
        <v>1168</v>
      </c>
    </row>
    <row r="269" spans="1:8" s="66" customFormat="1" ht="18" customHeight="1" x14ac:dyDescent="0.3">
      <c r="A269" s="63">
        <v>6410</v>
      </c>
      <c r="B269" s="64" t="s">
        <v>649</v>
      </c>
      <c r="C269" s="65" t="s">
        <v>1169</v>
      </c>
      <c r="D269" s="65" t="s">
        <v>1154</v>
      </c>
      <c r="E269" s="65" t="s">
        <v>1</v>
      </c>
      <c r="F269" s="65" t="s">
        <v>1458</v>
      </c>
      <c r="G269" s="65" t="s">
        <v>370</v>
      </c>
      <c r="H269" s="65" t="s">
        <v>1168</v>
      </c>
    </row>
    <row r="270" spans="1:8" s="66" customFormat="1" ht="18" customHeight="1" x14ac:dyDescent="0.3">
      <c r="A270" s="67">
        <v>6445</v>
      </c>
      <c r="B270" s="68" t="s">
        <v>2068</v>
      </c>
      <c r="C270" s="69" t="s">
        <v>2085</v>
      </c>
      <c r="D270" s="67" t="s">
        <v>1220</v>
      </c>
      <c r="E270" s="67" t="s">
        <v>158</v>
      </c>
      <c r="F270" s="67" t="s">
        <v>2095</v>
      </c>
      <c r="G270" s="67" t="s">
        <v>2108</v>
      </c>
      <c r="H270" s="65" t="s">
        <v>2109</v>
      </c>
    </row>
    <row r="271" spans="1:8" s="66" customFormat="1" ht="18" customHeight="1" x14ac:dyDescent="0.3">
      <c r="A271" s="67">
        <v>6445</v>
      </c>
      <c r="B271" s="68" t="s">
        <v>2068</v>
      </c>
      <c r="C271" s="67" t="s">
        <v>2085</v>
      </c>
      <c r="D271" s="67" t="s">
        <v>1220</v>
      </c>
      <c r="E271" s="67" t="s">
        <v>158</v>
      </c>
      <c r="F271" s="67" t="s">
        <v>2095</v>
      </c>
      <c r="G271" s="67" t="s">
        <v>2108</v>
      </c>
      <c r="H271" s="65" t="s">
        <v>2109</v>
      </c>
    </row>
    <row r="272" spans="1:8" s="66" customFormat="1" ht="18" customHeight="1" x14ac:dyDescent="0.3">
      <c r="A272" s="63">
        <v>6446</v>
      </c>
      <c r="B272" s="64" t="s">
        <v>344</v>
      </c>
      <c r="C272" s="65" t="s">
        <v>891</v>
      </c>
      <c r="D272" s="65" t="s">
        <v>1220</v>
      </c>
      <c r="E272" s="65" t="s">
        <v>158</v>
      </c>
      <c r="F272" s="65" t="s">
        <v>1459</v>
      </c>
      <c r="G272" s="65" t="s">
        <v>16</v>
      </c>
      <c r="H272" s="65" t="s">
        <v>1353</v>
      </c>
    </row>
    <row r="273" spans="1:8" s="66" customFormat="1" ht="18" customHeight="1" x14ac:dyDescent="0.3">
      <c r="A273" s="63">
        <v>6455</v>
      </c>
      <c r="B273" s="64" t="s">
        <v>303</v>
      </c>
      <c r="C273" s="65" t="s">
        <v>891</v>
      </c>
      <c r="D273" s="65" t="s">
        <v>1154</v>
      </c>
      <c r="E273" s="65" t="s">
        <v>1</v>
      </c>
      <c r="F273" s="65" t="s">
        <v>1460</v>
      </c>
      <c r="G273" s="65" t="s">
        <v>0</v>
      </c>
      <c r="H273" s="65" t="s">
        <v>1185</v>
      </c>
    </row>
    <row r="274" spans="1:8" s="66" customFormat="1" ht="18" customHeight="1" x14ac:dyDescent="0.3">
      <c r="A274" s="63">
        <v>6462</v>
      </c>
      <c r="B274" s="64" t="s">
        <v>304</v>
      </c>
      <c r="C274" s="65" t="s">
        <v>1169</v>
      </c>
      <c r="D274" s="65" t="s">
        <v>1154</v>
      </c>
      <c r="E274" s="65" t="s">
        <v>482</v>
      </c>
      <c r="F274" s="65" t="s">
        <v>1461</v>
      </c>
      <c r="G274" s="65" t="s">
        <v>6</v>
      </c>
      <c r="H274" s="65" t="s">
        <v>1262</v>
      </c>
    </row>
    <row r="275" spans="1:8" s="66" customFormat="1" ht="18" customHeight="1" x14ac:dyDescent="0.3">
      <c r="A275" s="63">
        <v>6466</v>
      </c>
      <c r="B275" s="64" t="s">
        <v>305</v>
      </c>
      <c r="C275" s="65" t="s">
        <v>891</v>
      </c>
      <c r="D275" s="65" t="s">
        <v>1154</v>
      </c>
      <c r="E275" s="65" t="s">
        <v>482</v>
      </c>
      <c r="F275" s="65" t="s">
        <v>1462</v>
      </c>
      <c r="G275" s="65" t="s">
        <v>0</v>
      </c>
      <c r="H275" s="65" t="s">
        <v>1463</v>
      </c>
    </row>
    <row r="276" spans="1:8" s="66" customFormat="1" ht="18" customHeight="1" x14ac:dyDescent="0.3">
      <c r="A276" s="63">
        <v>6468</v>
      </c>
      <c r="B276" s="64" t="s">
        <v>306</v>
      </c>
      <c r="C276" s="65" t="s">
        <v>891</v>
      </c>
      <c r="D276" s="65" t="s">
        <v>1154</v>
      </c>
      <c r="E276" s="65" t="s">
        <v>473</v>
      </c>
      <c r="F276" s="65" t="s">
        <v>1464</v>
      </c>
      <c r="G276" s="65" t="s">
        <v>0</v>
      </c>
      <c r="H276" s="65" t="s">
        <v>1465</v>
      </c>
    </row>
    <row r="277" spans="1:8" s="66" customFormat="1" ht="18" customHeight="1" x14ac:dyDescent="0.3">
      <c r="A277" s="63">
        <v>6471</v>
      </c>
      <c r="B277" s="64" t="s">
        <v>307</v>
      </c>
      <c r="C277" s="65" t="s">
        <v>891</v>
      </c>
      <c r="D277" s="65" t="s">
        <v>1154</v>
      </c>
      <c r="E277" s="65" t="s">
        <v>1</v>
      </c>
      <c r="F277" s="65" t="s">
        <v>1466</v>
      </c>
      <c r="G277" s="65" t="s">
        <v>0</v>
      </c>
      <c r="H277" s="65" t="s">
        <v>1174</v>
      </c>
    </row>
    <row r="278" spans="1:8" s="66" customFormat="1" ht="18" customHeight="1" x14ac:dyDescent="0.3">
      <c r="A278" s="63">
        <v>6503</v>
      </c>
      <c r="B278" s="64" t="s">
        <v>308</v>
      </c>
      <c r="C278" s="65" t="s">
        <v>891</v>
      </c>
      <c r="D278" s="65" t="s">
        <v>1154</v>
      </c>
      <c r="E278" s="65" t="s">
        <v>473</v>
      </c>
      <c r="F278" s="65" t="s">
        <v>1467</v>
      </c>
      <c r="G278" s="65" t="s">
        <v>11</v>
      </c>
      <c r="H278" s="65" t="s">
        <v>1468</v>
      </c>
    </row>
    <row r="279" spans="1:8" s="66" customFormat="1" ht="18" customHeight="1" x14ac:dyDescent="0.3">
      <c r="A279" s="63">
        <v>6504</v>
      </c>
      <c r="B279" s="64" t="s">
        <v>345</v>
      </c>
      <c r="C279" s="65" t="s">
        <v>891</v>
      </c>
      <c r="D279" s="65" t="s">
        <v>1220</v>
      </c>
      <c r="E279" s="65" t="s">
        <v>158</v>
      </c>
      <c r="F279" s="65" t="s">
        <v>1469</v>
      </c>
      <c r="G279" s="65" t="s">
        <v>10</v>
      </c>
      <c r="H279" s="65" t="s">
        <v>1168</v>
      </c>
    </row>
    <row r="280" spans="1:8" s="66" customFormat="1" ht="18" customHeight="1" x14ac:dyDescent="0.3">
      <c r="A280" s="63">
        <v>9861</v>
      </c>
      <c r="B280" s="64" t="s">
        <v>795</v>
      </c>
      <c r="C280" s="65" t="s">
        <v>891</v>
      </c>
      <c r="D280" s="65" t="s">
        <v>1154</v>
      </c>
      <c r="E280" s="65" t="s">
        <v>473</v>
      </c>
      <c r="F280" s="65" t="s">
        <v>1470</v>
      </c>
      <c r="G280" s="65" t="s">
        <v>14</v>
      </c>
      <c r="H280" s="65" t="s">
        <v>1168</v>
      </c>
    </row>
    <row r="281" spans="1:8" s="66" customFormat="1" ht="18" customHeight="1" x14ac:dyDescent="0.3">
      <c r="A281" s="63">
        <v>6506</v>
      </c>
      <c r="B281" s="64" t="s">
        <v>346</v>
      </c>
      <c r="C281" s="65" t="s">
        <v>891</v>
      </c>
      <c r="D281" s="65" t="s">
        <v>1220</v>
      </c>
      <c r="E281" s="65" t="s">
        <v>158</v>
      </c>
      <c r="F281" s="65" t="s">
        <v>1471</v>
      </c>
      <c r="G281" s="65" t="s">
        <v>7</v>
      </c>
      <c r="H281" s="65" t="s">
        <v>1168</v>
      </c>
    </row>
    <row r="282" spans="1:8" s="66" customFormat="1" ht="18" customHeight="1" x14ac:dyDescent="0.3">
      <c r="A282" s="63">
        <v>6507</v>
      </c>
      <c r="B282" s="64" t="s">
        <v>347</v>
      </c>
      <c r="C282" s="65" t="s">
        <v>891</v>
      </c>
      <c r="D282" s="65" t="s">
        <v>1220</v>
      </c>
      <c r="E282" s="65" t="s">
        <v>158</v>
      </c>
      <c r="F282" s="65" t="s">
        <v>1472</v>
      </c>
      <c r="G282" s="65" t="s">
        <v>20</v>
      </c>
      <c r="H282" s="65" t="s">
        <v>1168</v>
      </c>
    </row>
    <row r="283" spans="1:8" s="66" customFormat="1" ht="18" customHeight="1" x14ac:dyDescent="0.3">
      <c r="A283" s="63">
        <v>6518</v>
      </c>
      <c r="B283" s="64" t="s">
        <v>309</v>
      </c>
      <c r="C283" s="65" t="s">
        <v>891</v>
      </c>
      <c r="D283" s="65" t="s">
        <v>1154</v>
      </c>
      <c r="E283" s="65" t="s">
        <v>1</v>
      </c>
      <c r="F283" s="65" t="s">
        <v>1473</v>
      </c>
      <c r="G283" s="65" t="s">
        <v>0</v>
      </c>
      <c r="H283" s="65" t="s">
        <v>1185</v>
      </c>
    </row>
    <row r="284" spans="1:8" s="66" customFormat="1" ht="18" customHeight="1" x14ac:dyDescent="0.3">
      <c r="A284" s="63">
        <v>6523</v>
      </c>
      <c r="B284" s="64" t="s">
        <v>310</v>
      </c>
      <c r="C284" s="65" t="s">
        <v>891</v>
      </c>
      <c r="D284" s="65" t="s">
        <v>1154</v>
      </c>
      <c r="E284" s="65" t="s">
        <v>1</v>
      </c>
      <c r="F284" s="65" t="s">
        <v>1474</v>
      </c>
      <c r="G284" s="65" t="s">
        <v>0</v>
      </c>
      <c r="H284" s="65" t="s">
        <v>1185</v>
      </c>
    </row>
    <row r="285" spans="1:8" s="66" customFormat="1" ht="18" customHeight="1" x14ac:dyDescent="0.3">
      <c r="A285" s="63">
        <v>6558</v>
      </c>
      <c r="B285" s="64" t="s">
        <v>348</v>
      </c>
      <c r="C285" s="65" t="s">
        <v>891</v>
      </c>
      <c r="D285" s="65" t="s">
        <v>1220</v>
      </c>
      <c r="E285" s="65" t="s">
        <v>158</v>
      </c>
      <c r="F285" s="65" t="s">
        <v>1475</v>
      </c>
      <c r="G285" s="65" t="s">
        <v>0</v>
      </c>
      <c r="H285" s="65" t="s">
        <v>1183</v>
      </c>
    </row>
    <row r="286" spans="1:8" s="66" customFormat="1" ht="18" customHeight="1" x14ac:dyDescent="0.3">
      <c r="A286" s="63">
        <v>6590</v>
      </c>
      <c r="B286" s="64" t="s">
        <v>311</v>
      </c>
      <c r="C286" s="65" t="s">
        <v>891</v>
      </c>
      <c r="D286" s="65" t="s">
        <v>1154</v>
      </c>
      <c r="E286" s="65" t="s">
        <v>473</v>
      </c>
      <c r="F286" s="65" t="s">
        <v>1476</v>
      </c>
      <c r="G286" s="65" t="s">
        <v>11</v>
      </c>
      <c r="H286" s="65" t="s">
        <v>1260</v>
      </c>
    </row>
    <row r="287" spans="1:8" s="66" customFormat="1" ht="18" customHeight="1" x14ac:dyDescent="0.3">
      <c r="A287" s="63">
        <v>6592</v>
      </c>
      <c r="B287" s="64" t="s">
        <v>312</v>
      </c>
      <c r="C287" s="65" t="s">
        <v>891</v>
      </c>
      <c r="D287" s="65" t="s">
        <v>1154</v>
      </c>
      <c r="E287" s="65" t="s">
        <v>473</v>
      </c>
      <c r="F287" s="65" t="s">
        <v>1477</v>
      </c>
      <c r="G287" s="65" t="s">
        <v>16</v>
      </c>
      <c r="H287" s="65" t="s">
        <v>1243</v>
      </c>
    </row>
    <row r="288" spans="1:8" s="66" customFormat="1" ht="18" customHeight="1" x14ac:dyDescent="0.3">
      <c r="A288" s="63">
        <v>6598</v>
      </c>
      <c r="B288" s="64" t="s">
        <v>349</v>
      </c>
      <c r="C288" s="65" t="s">
        <v>891</v>
      </c>
      <c r="D288" s="65" t="s">
        <v>1220</v>
      </c>
      <c r="E288" s="65" t="s">
        <v>158</v>
      </c>
      <c r="F288" s="65" t="s">
        <v>1478</v>
      </c>
      <c r="G288" s="65" t="s">
        <v>15</v>
      </c>
      <c r="H288" s="65" t="s">
        <v>1258</v>
      </c>
    </row>
    <row r="289" spans="1:8" s="66" customFormat="1" ht="18" customHeight="1" x14ac:dyDescent="0.3">
      <c r="A289" s="63">
        <v>6600</v>
      </c>
      <c r="B289" s="64" t="s">
        <v>313</v>
      </c>
      <c r="C289" s="65" t="s">
        <v>891</v>
      </c>
      <c r="D289" s="65" t="s">
        <v>1154</v>
      </c>
      <c r="E289" s="65" t="s">
        <v>1</v>
      </c>
      <c r="F289" s="65" t="s">
        <v>1479</v>
      </c>
      <c r="G289" s="65" t="s">
        <v>0</v>
      </c>
      <c r="H289" s="65" t="s">
        <v>1305</v>
      </c>
    </row>
    <row r="290" spans="1:8" s="66" customFormat="1" ht="18" customHeight="1" x14ac:dyDescent="0.3">
      <c r="A290" s="63">
        <v>6604</v>
      </c>
      <c r="B290" s="64" t="s">
        <v>314</v>
      </c>
      <c r="C290" s="65" t="s">
        <v>1169</v>
      </c>
      <c r="D290" s="65" t="s">
        <v>1154</v>
      </c>
      <c r="E290" s="65" t="s">
        <v>473</v>
      </c>
      <c r="F290" s="65" t="s">
        <v>1480</v>
      </c>
      <c r="G290" s="65" t="s">
        <v>153</v>
      </c>
      <c r="H290" s="65" t="s">
        <v>1266</v>
      </c>
    </row>
    <row r="291" spans="1:8" s="66" customFormat="1" ht="18" customHeight="1" x14ac:dyDescent="0.3">
      <c r="A291" s="63">
        <v>6609</v>
      </c>
      <c r="B291" s="64" t="s">
        <v>315</v>
      </c>
      <c r="C291" s="65" t="s">
        <v>891</v>
      </c>
      <c r="D291" s="65" t="s">
        <v>1154</v>
      </c>
      <c r="E291" s="65" t="s">
        <v>2</v>
      </c>
      <c r="F291" s="65" t="s">
        <v>1481</v>
      </c>
      <c r="G291" s="65" t="s">
        <v>0</v>
      </c>
      <c r="H291" s="65" t="s">
        <v>1239</v>
      </c>
    </row>
    <row r="292" spans="1:8" s="66" customFormat="1" ht="18" customHeight="1" x14ac:dyDescent="0.3">
      <c r="A292" s="63">
        <v>6621</v>
      </c>
      <c r="B292" s="64" t="s">
        <v>350</v>
      </c>
      <c r="C292" s="65" t="s">
        <v>1169</v>
      </c>
      <c r="D292" s="65" t="s">
        <v>1220</v>
      </c>
      <c r="E292" s="65" t="s">
        <v>158</v>
      </c>
      <c r="F292" s="65" t="s">
        <v>1482</v>
      </c>
      <c r="G292" s="65" t="s">
        <v>152</v>
      </c>
      <c r="H292" s="65" t="s">
        <v>1297</v>
      </c>
    </row>
    <row r="293" spans="1:8" s="66" customFormat="1" ht="18" customHeight="1" x14ac:dyDescent="0.3">
      <c r="A293" s="63">
        <v>6622</v>
      </c>
      <c r="B293" s="64" t="s">
        <v>731</v>
      </c>
      <c r="C293" s="65" t="s">
        <v>1169</v>
      </c>
      <c r="D293" s="65" t="s">
        <v>537</v>
      </c>
      <c r="E293" s="65" t="s">
        <v>537</v>
      </c>
      <c r="F293" s="65" t="s">
        <v>1483</v>
      </c>
      <c r="G293" s="65" t="s">
        <v>152</v>
      </c>
      <c r="H293" s="65" t="s">
        <v>1297</v>
      </c>
    </row>
    <row r="294" spans="1:8" s="66" customFormat="1" ht="18" customHeight="1" x14ac:dyDescent="0.3">
      <c r="A294" s="63">
        <v>6634</v>
      </c>
      <c r="B294" s="64" t="s">
        <v>316</v>
      </c>
      <c r="C294" s="65" t="s">
        <v>891</v>
      </c>
      <c r="D294" s="65" t="s">
        <v>1154</v>
      </c>
      <c r="E294" s="65" t="s">
        <v>1</v>
      </c>
      <c r="F294" s="65" t="s">
        <v>1484</v>
      </c>
      <c r="G294" s="65" t="s">
        <v>11</v>
      </c>
      <c r="H294" s="65" t="s">
        <v>1236</v>
      </c>
    </row>
    <row r="295" spans="1:8" s="66" customFormat="1" ht="18" customHeight="1" x14ac:dyDescent="0.3">
      <c r="A295" s="63">
        <v>6640</v>
      </c>
      <c r="B295" s="64" t="s">
        <v>317</v>
      </c>
      <c r="C295" s="65" t="s">
        <v>891</v>
      </c>
      <c r="D295" s="65" t="s">
        <v>1154</v>
      </c>
      <c r="E295" s="65" t="s">
        <v>473</v>
      </c>
      <c r="F295" s="65" t="s">
        <v>1485</v>
      </c>
      <c r="G295" s="65" t="s">
        <v>11</v>
      </c>
      <c r="H295" s="65" t="s">
        <v>1236</v>
      </c>
    </row>
    <row r="296" spans="1:8" s="66" customFormat="1" ht="18" customHeight="1" x14ac:dyDescent="0.3">
      <c r="A296" s="63">
        <v>6670</v>
      </c>
      <c r="B296" s="64" t="s">
        <v>318</v>
      </c>
      <c r="C296" s="65" t="s">
        <v>891</v>
      </c>
      <c r="D296" s="65" t="s">
        <v>1154</v>
      </c>
      <c r="E296" s="65" t="s">
        <v>473</v>
      </c>
      <c r="F296" s="65" t="s">
        <v>1486</v>
      </c>
      <c r="G296" s="65" t="s">
        <v>17</v>
      </c>
      <c r="H296" s="65" t="s">
        <v>1212</v>
      </c>
    </row>
    <row r="297" spans="1:8" s="66" customFormat="1" ht="18" customHeight="1" x14ac:dyDescent="0.3">
      <c r="A297" s="63">
        <v>6671</v>
      </c>
      <c r="B297" s="64" t="s">
        <v>319</v>
      </c>
      <c r="C297" s="65" t="s">
        <v>891</v>
      </c>
      <c r="D297" s="65" t="s">
        <v>1154</v>
      </c>
      <c r="E297" s="65" t="s">
        <v>473</v>
      </c>
      <c r="F297" s="65" t="s">
        <v>1487</v>
      </c>
      <c r="G297" s="65" t="s">
        <v>8</v>
      </c>
      <c r="H297" s="65" t="s">
        <v>1168</v>
      </c>
    </row>
    <row r="298" spans="1:8" s="66" customFormat="1" ht="18" customHeight="1" x14ac:dyDescent="0.3">
      <c r="A298" s="63">
        <v>6697</v>
      </c>
      <c r="B298" s="64" t="s">
        <v>320</v>
      </c>
      <c r="C298" s="65" t="s">
        <v>891</v>
      </c>
      <c r="D298" s="65" t="s">
        <v>1154</v>
      </c>
      <c r="E298" s="65" t="s">
        <v>1</v>
      </c>
      <c r="F298" s="65" t="s">
        <v>1488</v>
      </c>
      <c r="G298" s="65" t="s">
        <v>0</v>
      </c>
      <c r="H298" s="65" t="s">
        <v>1239</v>
      </c>
    </row>
    <row r="299" spans="1:8" s="66" customFormat="1" ht="18" customHeight="1" x14ac:dyDescent="0.3">
      <c r="A299" s="63">
        <v>6700</v>
      </c>
      <c r="B299" s="64" t="s">
        <v>732</v>
      </c>
      <c r="C299" s="65" t="s">
        <v>1169</v>
      </c>
      <c r="D299" s="65" t="s">
        <v>1154</v>
      </c>
      <c r="E299" s="65" t="s">
        <v>473</v>
      </c>
      <c r="F299" s="65" t="s">
        <v>1489</v>
      </c>
      <c r="G299" s="65" t="s">
        <v>153</v>
      </c>
      <c r="H299" s="65" t="s">
        <v>1179</v>
      </c>
    </row>
    <row r="300" spans="1:8" s="66" customFormat="1" ht="18" customHeight="1" x14ac:dyDescent="0.3">
      <c r="A300" s="63">
        <v>6701</v>
      </c>
      <c r="B300" s="64" t="s">
        <v>321</v>
      </c>
      <c r="C300" s="65" t="s">
        <v>1169</v>
      </c>
      <c r="D300" s="65" t="s">
        <v>1154</v>
      </c>
      <c r="E300" s="65" t="s">
        <v>482</v>
      </c>
      <c r="F300" s="65" t="s">
        <v>1490</v>
      </c>
      <c r="G300" s="65" t="s">
        <v>6</v>
      </c>
      <c r="H300" s="65" t="s">
        <v>1190</v>
      </c>
    </row>
    <row r="301" spans="1:8" s="66" customFormat="1" ht="18" customHeight="1" x14ac:dyDescent="0.3">
      <c r="A301" s="63">
        <v>6703</v>
      </c>
      <c r="B301" s="64" t="s">
        <v>322</v>
      </c>
      <c r="C301" s="65" t="s">
        <v>891</v>
      </c>
      <c r="D301" s="65" t="s">
        <v>1154</v>
      </c>
      <c r="E301" s="65" t="s">
        <v>1</v>
      </c>
      <c r="F301" s="65" t="s">
        <v>1491</v>
      </c>
      <c r="G301" s="65" t="s">
        <v>0</v>
      </c>
      <c r="H301" s="65" t="s">
        <v>1166</v>
      </c>
    </row>
    <row r="302" spans="1:8" s="66" customFormat="1" ht="18" customHeight="1" x14ac:dyDescent="0.3">
      <c r="A302" s="63">
        <v>6708</v>
      </c>
      <c r="B302" s="64" t="s">
        <v>351</v>
      </c>
      <c r="C302" s="65" t="s">
        <v>891</v>
      </c>
      <c r="D302" s="65" t="s">
        <v>1220</v>
      </c>
      <c r="E302" s="65" t="s">
        <v>158</v>
      </c>
      <c r="F302" s="65" t="s">
        <v>1492</v>
      </c>
      <c r="G302" s="65" t="s">
        <v>16</v>
      </c>
      <c r="H302" s="65" t="s">
        <v>1207</v>
      </c>
    </row>
    <row r="303" spans="1:8" s="66" customFormat="1" ht="18" customHeight="1" x14ac:dyDescent="0.3">
      <c r="A303" s="63">
        <v>6709</v>
      </c>
      <c r="B303" s="64" t="s">
        <v>650</v>
      </c>
      <c r="C303" s="65" t="s">
        <v>891</v>
      </c>
      <c r="D303" s="65" t="s">
        <v>537</v>
      </c>
      <c r="E303" s="65" t="s">
        <v>537</v>
      </c>
      <c r="F303" s="65" t="s">
        <v>1493</v>
      </c>
      <c r="G303" s="65" t="s">
        <v>7</v>
      </c>
      <c r="H303" s="65" t="s">
        <v>1168</v>
      </c>
    </row>
    <row r="304" spans="1:8" s="66" customFormat="1" ht="18" customHeight="1" x14ac:dyDescent="0.3">
      <c r="A304" s="63">
        <v>6730</v>
      </c>
      <c r="B304" s="64" t="s">
        <v>324</v>
      </c>
      <c r="C304" s="65" t="s">
        <v>1169</v>
      </c>
      <c r="D304" s="65" t="s">
        <v>1154</v>
      </c>
      <c r="E304" s="65" t="s">
        <v>1</v>
      </c>
      <c r="F304" s="65" t="s">
        <v>1494</v>
      </c>
      <c r="G304" s="65" t="s">
        <v>6</v>
      </c>
      <c r="H304" s="65" t="s">
        <v>1190</v>
      </c>
    </row>
    <row r="305" spans="1:8" s="66" customFormat="1" ht="18" customHeight="1" x14ac:dyDescent="0.3">
      <c r="A305" s="63">
        <v>6738</v>
      </c>
      <c r="B305" s="64" t="s">
        <v>325</v>
      </c>
      <c r="C305" s="65" t="s">
        <v>1169</v>
      </c>
      <c r="D305" s="65" t="s">
        <v>1154</v>
      </c>
      <c r="E305" s="65" t="s">
        <v>473</v>
      </c>
      <c r="F305" s="65" t="s">
        <v>1495</v>
      </c>
      <c r="G305" s="65" t="s">
        <v>154</v>
      </c>
      <c r="H305" s="65" t="s">
        <v>1168</v>
      </c>
    </row>
    <row r="306" spans="1:8" s="66" customFormat="1" ht="18" customHeight="1" x14ac:dyDescent="0.3">
      <c r="A306" s="63">
        <v>6753</v>
      </c>
      <c r="B306" s="64" t="s">
        <v>326</v>
      </c>
      <c r="C306" s="65" t="s">
        <v>891</v>
      </c>
      <c r="D306" s="65" t="s">
        <v>1154</v>
      </c>
      <c r="E306" s="65" t="s">
        <v>473</v>
      </c>
      <c r="F306" s="65" t="s">
        <v>1496</v>
      </c>
      <c r="G306" s="65" t="s">
        <v>11</v>
      </c>
      <c r="H306" s="65" t="s">
        <v>1497</v>
      </c>
    </row>
    <row r="307" spans="1:8" s="66" customFormat="1" ht="18" customHeight="1" x14ac:dyDescent="0.3">
      <c r="A307" s="67">
        <v>6755</v>
      </c>
      <c r="B307" s="68" t="s">
        <v>2069</v>
      </c>
      <c r="C307" s="69" t="s">
        <v>891</v>
      </c>
      <c r="D307" s="67" t="s">
        <v>1154</v>
      </c>
      <c r="E307" s="67" t="s">
        <v>1</v>
      </c>
      <c r="F307" s="67" t="s">
        <v>2096</v>
      </c>
      <c r="G307" s="67" t="s">
        <v>2108</v>
      </c>
      <c r="H307" s="65" t="s">
        <v>1168</v>
      </c>
    </row>
    <row r="308" spans="1:8" s="66" customFormat="1" ht="18" customHeight="1" x14ac:dyDescent="0.3">
      <c r="A308" s="67">
        <v>6755</v>
      </c>
      <c r="B308" s="68" t="s">
        <v>2069</v>
      </c>
      <c r="C308" s="67" t="s">
        <v>891</v>
      </c>
      <c r="D308" s="67" t="s">
        <v>1154</v>
      </c>
      <c r="E308" s="67" t="s">
        <v>1</v>
      </c>
      <c r="F308" s="67" t="s">
        <v>2096</v>
      </c>
      <c r="G308" s="67" t="s">
        <v>2108</v>
      </c>
      <c r="H308" s="65" t="s">
        <v>1168</v>
      </c>
    </row>
    <row r="309" spans="1:8" s="66" customFormat="1" ht="18" customHeight="1" x14ac:dyDescent="0.3">
      <c r="A309" s="63">
        <v>6795</v>
      </c>
      <c r="B309" s="64" t="s">
        <v>1038</v>
      </c>
      <c r="C309" s="65" t="s">
        <v>1169</v>
      </c>
      <c r="D309" s="65" t="s">
        <v>1039</v>
      </c>
      <c r="E309" s="65" t="s">
        <v>1039</v>
      </c>
      <c r="F309" s="65" t="s">
        <v>1498</v>
      </c>
      <c r="G309" s="65" t="s">
        <v>6</v>
      </c>
      <c r="H309" s="65" t="s">
        <v>1190</v>
      </c>
    </row>
    <row r="310" spans="1:8" s="66" customFormat="1" ht="18" customHeight="1" x14ac:dyDescent="0.3">
      <c r="A310" s="63">
        <v>6841</v>
      </c>
      <c r="B310" s="64" t="s">
        <v>352</v>
      </c>
      <c r="C310" s="65" t="s">
        <v>891</v>
      </c>
      <c r="D310" s="65" t="s">
        <v>1220</v>
      </c>
      <c r="E310" s="65" t="s">
        <v>158</v>
      </c>
      <c r="F310" s="65" t="s">
        <v>1499</v>
      </c>
      <c r="G310" s="65" t="s">
        <v>18</v>
      </c>
      <c r="H310" s="65" t="s">
        <v>1168</v>
      </c>
    </row>
    <row r="311" spans="1:8" s="66" customFormat="1" ht="18" customHeight="1" x14ac:dyDescent="0.3">
      <c r="A311" s="63">
        <v>6851</v>
      </c>
      <c r="B311" s="64" t="s">
        <v>329</v>
      </c>
      <c r="C311" s="65" t="s">
        <v>891</v>
      </c>
      <c r="D311" s="65" t="s">
        <v>4</v>
      </c>
      <c r="E311" s="65" t="s">
        <v>4</v>
      </c>
      <c r="F311" s="65" t="s">
        <v>1500</v>
      </c>
      <c r="G311" s="65" t="s">
        <v>16</v>
      </c>
      <c r="H311" s="65" t="s">
        <v>1207</v>
      </c>
    </row>
    <row r="312" spans="1:8" s="66" customFormat="1" ht="18" customHeight="1" x14ac:dyDescent="0.3">
      <c r="A312" s="63">
        <v>6859</v>
      </c>
      <c r="B312" s="64" t="s">
        <v>733</v>
      </c>
      <c r="C312" s="65" t="s">
        <v>891</v>
      </c>
      <c r="D312" s="65" t="s">
        <v>1154</v>
      </c>
      <c r="E312" s="65" t="s">
        <v>1</v>
      </c>
      <c r="F312" s="65" t="s">
        <v>1501</v>
      </c>
      <c r="G312" s="65" t="s">
        <v>16</v>
      </c>
      <c r="H312" s="65" t="s">
        <v>1236</v>
      </c>
    </row>
    <row r="313" spans="1:8" s="66" customFormat="1" ht="18" customHeight="1" x14ac:dyDescent="0.3">
      <c r="A313" s="63">
        <v>6863</v>
      </c>
      <c r="B313" s="64" t="s">
        <v>330</v>
      </c>
      <c r="C313" s="65" t="s">
        <v>891</v>
      </c>
      <c r="D313" s="65" t="s">
        <v>1154</v>
      </c>
      <c r="E313" s="65" t="s">
        <v>473</v>
      </c>
      <c r="F313" s="65" t="s">
        <v>1502</v>
      </c>
      <c r="G313" s="65" t="s">
        <v>3</v>
      </c>
      <c r="H313" s="65" t="s">
        <v>1376</v>
      </c>
    </row>
    <row r="314" spans="1:8" s="66" customFormat="1" ht="18" customHeight="1" x14ac:dyDescent="0.3">
      <c r="A314" s="63">
        <v>6864</v>
      </c>
      <c r="B314" s="64" t="s">
        <v>331</v>
      </c>
      <c r="C314" s="65" t="s">
        <v>891</v>
      </c>
      <c r="D314" s="65" t="s">
        <v>1154</v>
      </c>
      <c r="E314" s="65" t="s">
        <v>473</v>
      </c>
      <c r="F314" s="65" t="s">
        <v>1503</v>
      </c>
      <c r="G314" s="65" t="s">
        <v>3</v>
      </c>
      <c r="H314" s="65" t="s">
        <v>1376</v>
      </c>
    </row>
    <row r="315" spans="1:8" s="66" customFormat="1" ht="18" customHeight="1" x14ac:dyDescent="0.3">
      <c r="A315" s="63">
        <v>6865</v>
      </c>
      <c r="B315" s="64" t="s">
        <v>332</v>
      </c>
      <c r="C315" s="65" t="s">
        <v>891</v>
      </c>
      <c r="D315" s="65" t="s">
        <v>1154</v>
      </c>
      <c r="E315" s="65" t="s">
        <v>473</v>
      </c>
      <c r="F315" s="65" t="s">
        <v>1504</v>
      </c>
      <c r="G315" s="65" t="s">
        <v>10</v>
      </c>
      <c r="H315" s="65" t="s">
        <v>1505</v>
      </c>
    </row>
    <row r="316" spans="1:8" s="66" customFormat="1" ht="18" customHeight="1" x14ac:dyDescent="0.3">
      <c r="A316" s="63">
        <v>6886</v>
      </c>
      <c r="B316" s="64" t="s">
        <v>333</v>
      </c>
      <c r="C316" s="65" t="s">
        <v>891</v>
      </c>
      <c r="D316" s="65" t="s">
        <v>4</v>
      </c>
      <c r="E316" s="65" t="s">
        <v>4</v>
      </c>
      <c r="F316" s="65" t="s">
        <v>1506</v>
      </c>
      <c r="G316" s="65" t="s">
        <v>16</v>
      </c>
      <c r="H316" s="65" t="s">
        <v>1207</v>
      </c>
    </row>
    <row r="317" spans="1:8" s="66" customFormat="1" ht="18" customHeight="1" x14ac:dyDescent="0.3">
      <c r="A317" s="63">
        <v>6894</v>
      </c>
      <c r="B317" s="64" t="s">
        <v>334</v>
      </c>
      <c r="C317" s="65" t="s">
        <v>891</v>
      </c>
      <c r="D317" s="65" t="s">
        <v>1154</v>
      </c>
      <c r="E317" s="65" t="s">
        <v>1</v>
      </c>
      <c r="F317" s="65" t="s">
        <v>1507</v>
      </c>
      <c r="G317" s="65" t="s">
        <v>16</v>
      </c>
      <c r="H317" s="65" t="s">
        <v>1236</v>
      </c>
    </row>
    <row r="318" spans="1:8" s="66" customFormat="1" ht="18" customHeight="1" x14ac:dyDescent="0.3">
      <c r="A318" s="63">
        <v>6900</v>
      </c>
      <c r="B318" s="64" t="s">
        <v>335</v>
      </c>
      <c r="C318" s="65" t="s">
        <v>891</v>
      </c>
      <c r="D318" s="65" t="s">
        <v>1154</v>
      </c>
      <c r="E318" s="65" t="s">
        <v>473</v>
      </c>
      <c r="F318" s="65" t="s">
        <v>1508</v>
      </c>
      <c r="G318" s="65" t="s">
        <v>3</v>
      </c>
      <c r="H318" s="65" t="s">
        <v>1164</v>
      </c>
    </row>
    <row r="319" spans="1:8" s="66" customFormat="1" ht="18" customHeight="1" x14ac:dyDescent="0.3">
      <c r="A319" s="63">
        <v>6909</v>
      </c>
      <c r="B319" s="64" t="s">
        <v>356</v>
      </c>
      <c r="C319" s="65" t="s">
        <v>891</v>
      </c>
      <c r="D319" s="65" t="s">
        <v>1154</v>
      </c>
      <c r="E319" s="65" t="s">
        <v>473</v>
      </c>
      <c r="F319" s="65" t="s">
        <v>1509</v>
      </c>
      <c r="G319" s="65" t="s">
        <v>3</v>
      </c>
      <c r="H319" s="65" t="s">
        <v>1376</v>
      </c>
    </row>
    <row r="320" spans="1:8" s="66" customFormat="1" ht="18" customHeight="1" x14ac:dyDescent="0.3">
      <c r="A320" s="63">
        <v>6910</v>
      </c>
      <c r="B320" s="64" t="s">
        <v>353</v>
      </c>
      <c r="C320" s="65" t="s">
        <v>891</v>
      </c>
      <c r="D320" s="65" t="s">
        <v>1154</v>
      </c>
      <c r="E320" s="65" t="s">
        <v>473</v>
      </c>
      <c r="F320" s="65" t="s">
        <v>1510</v>
      </c>
      <c r="G320" s="65" t="s">
        <v>16</v>
      </c>
      <c r="H320" s="65" t="s">
        <v>1243</v>
      </c>
    </row>
    <row r="321" spans="1:8" s="66" customFormat="1" ht="18" customHeight="1" x14ac:dyDescent="0.3">
      <c r="A321" s="63">
        <v>6924</v>
      </c>
      <c r="B321" s="64" t="s">
        <v>367</v>
      </c>
      <c r="C321" s="65" t="s">
        <v>1169</v>
      </c>
      <c r="D321" s="65" t="s">
        <v>1154</v>
      </c>
      <c r="E321" s="65" t="s">
        <v>1</v>
      </c>
      <c r="F321" s="65" t="s">
        <v>1511</v>
      </c>
      <c r="G321" s="65" t="s">
        <v>152</v>
      </c>
      <c r="H321" s="65" t="s">
        <v>1297</v>
      </c>
    </row>
    <row r="322" spans="1:8" s="66" customFormat="1" ht="18" customHeight="1" x14ac:dyDescent="0.3">
      <c r="A322" s="63">
        <v>6926</v>
      </c>
      <c r="B322" s="64" t="s">
        <v>374</v>
      </c>
      <c r="C322" s="65" t="s">
        <v>891</v>
      </c>
      <c r="D322" s="65" t="s">
        <v>1154</v>
      </c>
      <c r="E322" s="65" t="s">
        <v>1</v>
      </c>
      <c r="F322" s="65" t="s">
        <v>1512</v>
      </c>
      <c r="G322" s="65" t="s">
        <v>8</v>
      </c>
      <c r="H322" s="65" t="s">
        <v>1168</v>
      </c>
    </row>
    <row r="323" spans="1:8" s="66" customFormat="1" ht="18" customHeight="1" x14ac:dyDescent="0.3">
      <c r="A323" s="63">
        <v>6931</v>
      </c>
      <c r="B323" s="64" t="s">
        <v>1040</v>
      </c>
      <c r="C323" s="65" t="s">
        <v>891</v>
      </c>
      <c r="D323" s="65" t="s">
        <v>1039</v>
      </c>
      <c r="E323" s="65" t="s">
        <v>1039</v>
      </c>
      <c r="F323" s="65" t="s">
        <v>1513</v>
      </c>
      <c r="G323" s="65" t="s">
        <v>0</v>
      </c>
      <c r="H323" s="65" t="s">
        <v>1156</v>
      </c>
    </row>
    <row r="324" spans="1:8" s="66" customFormat="1" ht="18" customHeight="1" x14ac:dyDescent="0.3">
      <c r="A324" s="63">
        <v>6932</v>
      </c>
      <c r="B324" s="64" t="s">
        <v>375</v>
      </c>
      <c r="C324" s="65" t="s">
        <v>1169</v>
      </c>
      <c r="D324" s="65" t="s">
        <v>1154</v>
      </c>
      <c r="E324" s="65" t="s">
        <v>482</v>
      </c>
      <c r="F324" s="65" t="s">
        <v>1514</v>
      </c>
      <c r="G324" s="65" t="s">
        <v>6</v>
      </c>
      <c r="H324" s="65" t="s">
        <v>1190</v>
      </c>
    </row>
    <row r="325" spans="1:8" s="66" customFormat="1" ht="18" customHeight="1" x14ac:dyDescent="0.3">
      <c r="A325" s="63">
        <v>6940</v>
      </c>
      <c r="B325" s="64" t="s">
        <v>376</v>
      </c>
      <c r="C325" s="65" t="s">
        <v>891</v>
      </c>
      <c r="D325" s="65" t="s">
        <v>549</v>
      </c>
      <c r="E325" s="65" t="s">
        <v>549</v>
      </c>
      <c r="F325" s="65" t="s">
        <v>1515</v>
      </c>
      <c r="G325" s="65" t="s">
        <v>0</v>
      </c>
      <c r="H325" s="65" t="s">
        <v>1156</v>
      </c>
    </row>
    <row r="326" spans="1:8" s="66" customFormat="1" ht="18" customHeight="1" x14ac:dyDescent="0.3">
      <c r="A326" s="63">
        <v>6947</v>
      </c>
      <c r="B326" s="64" t="s">
        <v>377</v>
      </c>
      <c r="C326" s="65" t="s">
        <v>891</v>
      </c>
      <c r="D326" s="65" t="s">
        <v>1154</v>
      </c>
      <c r="E326" s="65" t="s">
        <v>1</v>
      </c>
      <c r="F326" s="65" t="s">
        <v>1516</v>
      </c>
      <c r="G326" s="65" t="s">
        <v>13</v>
      </c>
      <c r="H326" s="65" t="s">
        <v>1168</v>
      </c>
    </row>
    <row r="327" spans="1:8" s="66" customFormat="1" ht="18" customHeight="1" x14ac:dyDescent="0.3">
      <c r="A327" s="63">
        <v>6955</v>
      </c>
      <c r="B327" s="64" t="s">
        <v>357</v>
      </c>
      <c r="C327" s="65" t="s">
        <v>891</v>
      </c>
      <c r="D327" s="65" t="s">
        <v>1154</v>
      </c>
      <c r="E327" s="65" t="s">
        <v>1</v>
      </c>
      <c r="F327" s="65" t="s">
        <v>1517</v>
      </c>
      <c r="G327" s="65" t="s">
        <v>0</v>
      </c>
      <c r="H327" s="65" t="s">
        <v>1185</v>
      </c>
    </row>
    <row r="328" spans="1:8" s="66" customFormat="1" ht="18" customHeight="1" x14ac:dyDescent="0.3">
      <c r="A328" s="63">
        <v>6956</v>
      </c>
      <c r="B328" s="64" t="s">
        <v>378</v>
      </c>
      <c r="C328" s="65" t="s">
        <v>891</v>
      </c>
      <c r="D328" s="65" t="s">
        <v>1220</v>
      </c>
      <c r="E328" s="65" t="s">
        <v>158</v>
      </c>
      <c r="F328" s="65" t="s">
        <v>1518</v>
      </c>
      <c r="G328" s="65" t="s">
        <v>17</v>
      </c>
      <c r="H328" s="65" t="s">
        <v>1212</v>
      </c>
    </row>
    <row r="329" spans="1:8" s="66" customFormat="1" ht="18" customHeight="1" x14ac:dyDescent="0.3">
      <c r="A329" s="63">
        <v>6963</v>
      </c>
      <c r="B329" s="64" t="s">
        <v>354</v>
      </c>
      <c r="C329" s="65" t="s">
        <v>891</v>
      </c>
      <c r="D329" s="65" t="s">
        <v>1154</v>
      </c>
      <c r="E329" s="65" t="s">
        <v>473</v>
      </c>
      <c r="F329" s="65" t="s">
        <v>1519</v>
      </c>
      <c r="G329" s="65" t="s">
        <v>20</v>
      </c>
      <c r="H329" s="65" t="s">
        <v>1372</v>
      </c>
    </row>
    <row r="330" spans="1:8" s="66" customFormat="1" ht="18" customHeight="1" x14ac:dyDescent="0.3">
      <c r="A330" s="63">
        <v>6964</v>
      </c>
      <c r="B330" s="64" t="s">
        <v>355</v>
      </c>
      <c r="C330" s="65" t="s">
        <v>891</v>
      </c>
      <c r="D330" s="65" t="s">
        <v>1154</v>
      </c>
      <c r="E330" s="65" t="s">
        <v>473</v>
      </c>
      <c r="F330" s="65" t="s">
        <v>1520</v>
      </c>
      <c r="G330" s="65" t="s">
        <v>20</v>
      </c>
      <c r="H330" s="65" t="s">
        <v>1372</v>
      </c>
    </row>
    <row r="331" spans="1:8" s="66" customFormat="1" ht="18" customHeight="1" x14ac:dyDescent="0.3">
      <c r="A331" s="63">
        <v>6981</v>
      </c>
      <c r="B331" s="64" t="s">
        <v>358</v>
      </c>
      <c r="C331" s="65" t="s">
        <v>891</v>
      </c>
      <c r="D331" s="65" t="s">
        <v>1154</v>
      </c>
      <c r="E331" s="65" t="s">
        <v>2</v>
      </c>
      <c r="F331" s="65" t="s">
        <v>1521</v>
      </c>
      <c r="G331" s="65" t="s">
        <v>0</v>
      </c>
      <c r="H331" s="65" t="s">
        <v>1156</v>
      </c>
    </row>
    <row r="332" spans="1:8" s="66" customFormat="1" ht="18" customHeight="1" x14ac:dyDescent="0.3">
      <c r="A332" s="63">
        <v>6982</v>
      </c>
      <c r="B332" s="64" t="s">
        <v>379</v>
      </c>
      <c r="C332" s="65" t="s">
        <v>1169</v>
      </c>
      <c r="D332" s="65" t="s">
        <v>1154</v>
      </c>
      <c r="E332" s="65" t="s">
        <v>482</v>
      </c>
      <c r="F332" s="65" t="s">
        <v>1522</v>
      </c>
      <c r="G332" s="65" t="s">
        <v>6</v>
      </c>
      <c r="H332" s="65" t="s">
        <v>1214</v>
      </c>
    </row>
    <row r="333" spans="1:8" s="66" customFormat="1" ht="18" customHeight="1" x14ac:dyDescent="0.3">
      <c r="A333" s="63">
        <v>7016</v>
      </c>
      <c r="B333" s="64" t="s">
        <v>380</v>
      </c>
      <c r="C333" s="65" t="s">
        <v>891</v>
      </c>
      <c r="D333" s="65" t="s">
        <v>1154</v>
      </c>
      <c r="E333" s="65" t="s">
        <v>473</v>
      </c>
      <c r="F333" s="65" t="s">
        <v>1523</v>
      </c>
      <c r="G333" s="65" t="s">
        <v>16</v>
      </c>
      <c r="H333" s="65" t="s">
        <v>1365</v>
      </c>
    </row>
    <row r="334" spans="1:8" s="66" customFormat="1" ht="18" customHeight="1" x14ac:dyDescent="0.3">
      <c r="A334" s="63">
        <v>7019</v>
      </c>
      <c r="B334" s="64" t="s">
        <v>381</v>
      </c>
      <c r="C334" s="65" t="s">
        <v>891</v>
      </c>
      <c r="D334" s="65" t="s">
        <v>1154</v>
      </c>
      <c r="E334" s="65" t="s">
        <v>1</v>
      </c>
      <c r="F334" s="65" t="s">
        <v>1524</v>
      </c>
      <c r="G334" s="65" t="s">
        <v>0</v>
      </c>
      <c r="H334" s="65" t="s">
        <v>1174</v>
      </c>
    </row>
    <row r="335" spans="1:8" s="66" customFormat="1" ht="18" customHeight="1" x14ac:dyDescent="0.3">
      <c r="A335" s="63">
        <v>7023</v>
      </c>
      <c r="B335" s="64" t="s">
        <v>371</v>
      </c>
      <c r="C335" s="65" t="s">
        <v>891</v>
      </c>
      <c r="D335" s="65" t="s">
        <v>1154</v>
      </c>
      <c r="E335" s="65" t="s">
        <v>473</v>
      </c>
      <c r="F335" s="65" t="s">
        <v>1525</v>
      </c>
      <c r="G335" s="65" t="s">
        <v>10</v>
      </c>
      <c r="H335" s="65" t="s">
        <v>1526</v>
      </c>
    </row>
    <row r="336" spans="1:8" s="66" customFormat="1" ht="18" customHeight="1" x14ac:dyDescent="0.3">
      <c r="A336" s="63">
        <v>7030</v>
      </c>
      <c r="B336" s="64" t="s">
        <v>1041</v>
      </c>
      <c r="C336" s="65" t="s">
        <v>891</v>
      </c>
      <c r="D336" s="65" t="s">
        <v>1039</v>
      </c>
      <c r="E336" s="65" t="s">
        <v>1039</v>
      </c>
      <c r="F336" s="65" t="s">
        <v>1527</v>
      </c>
      <c r="G336" s="65" t="s">
        <v>0</v>
      </c>
      <c r="H336" s="65" t="s">
        <v>1156</v>
      </c>
    </row>
    <row r="337" spans="1:8" s="66" customFormat="1" ht="18" customHeight="1" x14ac:dyDescent="0.3">
      <c r="A337" s="63">
        <v>7061</v>
      </c>
      <c r="B337" s="64" t="s">
        <v>368</v>
      </c>
      <c r="C337" s="65" t="s">
        <v>891</v>
      </c>
      <c r="D337" s="65" t="s">
        <v>1154</v>
      </c>
      <c r="E337" s="65" t="s">
        <v>473</v>
      </c>
      <c r="F337" s="65" t="s">
        <v>1528</v>
      </c>
      <c r="G337" s="65" t="s">
        <v>0</v>
      </c>
      <c r="H337" s="65" t="s">
        <v>1174</v>
      </c>
    </row>
    <row r="338" spans="1:8" s="66" customFormat="1" ht="18" customHeight="1" x14ac:dyDescent="0.3">
      <c r="A338" s="63">
        <v>7078</v>
      </c>
      <c r="B338" s="64" t="s">
        <v>369</v>
      </c>
      <c r="C338" s="65" t="s">
        <v>1169</v>
      </c>
      <c r="D338" s="65" t="s">
        <v>1154</v>
      </c>
      <c r="E338" s="65" t="s">
        <v>1</v>
      </c>
      <c r="F338" s="65" t="s">
        <v>1529</v>
      </c>
      <c r="G338" s="65" t="s">
        <v>370</v>
      </c>
      <c r="H338" s="65" t="s">
        <v>1168</v>
      </c>
    </row>
    <row r="339" spans="1:8" s="66" customFormat="1" ht="18" customHeight="1" x14ac:dyDescent="0.3">
      <c r="A339" s="67">
        <v>7092</v>
      </c>
      <c r="B339" s="68" t="s">
        <v>2070</v>
      </c>
      <c r="C339" s="69" t="s">
        <v>2085</v>
      </c>
      <c r="D339" s="67" t="s">
        <v>1154</v>
      </c>
      <c r="E339" s="67" t="s">
        <v>473</v>
      </c>
      <c r="F339" s="67" t="s">
        <v>2097</v>
      </c>
      <c r="G339" s="67" t="s">
        <v>2108</v>
      </c>
      <c r="H339" s="65" t="s">
        <v>2110</v>
      </c>
    </row>
    <row r="340" spans="1:8" s="66" customFormat="1" ht="18" customHeight="1" x14ac:dyDescent="0.3">
      <c r="A340" s="67">
        <v>7092</v>
      </c>
      <c r="B340" s="68" t="s">
        <v>2070</v>
      </c>
      <c r="C340" s="67" t="s">
        <v>2085</v>
      </c>
      <c r="D340" s="67" t="s">
        <v>1154</v>
      </c>
      <c r="E340" s="67" t="s">
        <v>473</v>
      </c>
      <c r="F340" s="67" t="s">
        <v>2097</v>
      </c>
      <c r="G340" s="67" t="s">
        <v>2108</v>
      </c>
      <c r="H340" s="65" t="s">
        <v>2110</v>
      </c>
    </row>
    <row r="341" spans="1:8" s="66" customFormat="1" ht="18" customHeight="1" x14ac:dyDescent="0.3">
      <c r="A341" s="63">
        <v>7095</v>
      </c>
      <c r="B341" s="64" t="s">
        <v>389</v>
      </c>
      <c r="C341" s="65" t="s">
        <v>1169</v>
      </c>
      <c r="D341" s="65" t="s">
        <v>1220</v>
      </c>
      <c r="E341" s="65" t="s">
        <v>158</v>
      </c>
      <c r="F341" s="65" t="s">
        <v>1530</v>
      </c>
      <c r="G341" s="65" t="s">
        <v>153</v>
      </c>
      <c r="H341" s="65" t="s">
        <v>1268</v>
      </c>
    </row>
    <row r="342" spans="1:8" s="66" customFormat="1" ht="18" customHeight="1" x14ac:dyDescent="0.3">
      <c r="A342" s="63">
        <v>7097</v>
      </c>
      <c r="B342" s="64" t="s">
        <v>383</v>
      </c>
      <c r="C342" s="65" t="s">
        <v>891</v>
      </c>
      <c r="D342" s="65" t="s">
        <v>1154</v>
      </c>
      <c r="E342" s="65" t="s">
        <v>1</v>
      </c>
      <c r="F342" s="65" t="s">
        <v>1531</v>
      </c>
      <c r="G342" s="65" t="s">
        <v>8</v>
      </c>
      <c r="H342" s="65" t="s">
        <v>1168</v>
      </c>
    </row>
    <row r="343" spans="1:8" s="66" customFormat="1" ht="18" customHeight="1" x14ac:dyDescent="0.3">
      <c r="A343" s="63">
        <v>7100</v>
      </c>
      <c r="B343" s="64" t="s">
        <v>384</v>
      </c>
      <c r="C343" s="65" t="s">
        <v>891</v>
      </c>
      <c r="D343" s="65" t="s">
        <v>1154</v>
      </c>
      <c r="E343" s="65" t="s">
        <v>1</v>
      </c>
      <c r="F343" s="65" t="s">
        <v>1532</v>
      </c>
      <c r="G343" s="65" t="s">
        <v>17</v>
      </c>
      <c r="H343" s="65" t="s">
        <v>1247</v>
      </c>
    </row>
    <row r="344" spans="1:8" s="66" customFormat="1" ht="18" customHeight="1" x14ac:dyDescent="0.3">
      <c r="A344" s="63">
        <v>7117</v>
      </c>
      <c r="B344" s="64" t="s">
        <v>651</v>
      </c>
      <c r="C344" s="65" t="s">
        <v>891</v>
      </c>
      <c r="D344" s="65" t="s">
        <v>1154</v>
      </c>
      <c r="E344" s="65" t="s">
        <v>482</v>
      </c>
      <c r="F344" s="65" t="s">
        <v>1533</v>
      </c>
      <c r="G344" s="65" t="s">
        <v>16</v>
      </c>
      <c r="H344" s="65" t="s">
        <v>1243</v>
      </c>
    </row>
    <row r="345" spans="1:8" s="66" customFormat="1" ht="18" customHeight="1" x14ac:dyDescent="0.3">
      <c r="A345" s="63">
        <v>7118</v>
      </c>
      <c r="B345" s="64" t="s">
        <v>390</v>
      </c>
      <c r="C345" s="65" t="s">
        <v>891</v>
      </c>
      <c r="D345" s="65" t="s">
        <v>1220</v>
      </c>
      <c r="E345" s="65" t="s">
        <v>158</v>
      </c>
      <c r="F345" s="65" t="s">
        <v>1534</v>
      </c>
      <c r="G345" s="65" t="s">
        <v>17</v>
      </c>
      <c r="H345" s="65" t="s">
        <v>1247</v>
      </c>
    </row>
    <row r="346" spans="1:8" s="66" customFormat="1" ht="18" customHeight="1" x14ac:dyDescent="0.3">
      <c r="A346" s="63">
        <v>7119</v>
      </c>
      <c r="B346" s="64" t="s">
        <v>391</v>
      </c>
      <c r="C346" s="65" t="s">
        <v>891</v>
      </c>
      <c r="D346" s="65" t="s">
        <v>1220</v>
      </c>
      <c r="E346" s="65" t="s">
        <v>158</v>
      </c>
      <c r="F346" s="65" t="s">
        <v>1535</v>
      </c>
      <c r="G346" s="65" t="s">
        <v>16</v>
      </c>
      <c r="H346" s="65" t="s">
        <v>1207</v>
      </c>
    </row>
    <row r="347" spans="1:8" s="66" customFormat="1" ht="18" customHeight="1" x14ac:dyDescent="0.3">
      <c r="A347" s="63">
        <v>7121</v>
      </c>
      <c r="B347" s="64" t="s">
        <v>442</v>
      </c>
      <c r="C347" s="65" t="s">
        <v>891</v>
      </c>
      <c r="D347" s="65" t="s">
        <v>1220</v>
      </c>
      <c r="E347" s="65" t="s">
        <v>158</v>
      </c>
      <c r="F347" s="65" t="s">
        <v>1536</v>
      </c>
      <c r="G347" s="65" t="s">
        <v>8</v>
      </c>
      <c r="H347" s="65" t="s">
        <v>1417</v>
      </c>
    </row>
    <row r="348" spans="1:8" s="66" customFormat="1" ht="18" customHeight="1" x14ac:dyDescent="0.3">
      <c r="A348" s="63">
        <v>7142</v>
      </c>
      <c r="B348" s="64" t="s">
        <v>385</v>
      </c>
      <c r="C348" s="65" t="s">
        <v>891</v>
      </c>
      <c r="D348" s="65" t="s">
        <v>1154</v>
      </c>
      <c r="E348" s="65" t="s">
        <v>482</v>
      </c>
      <c r="F348" s="65" t="s">
        <v>1537</v>
      </c>
      <c r="G348" s="65" t="s">
        <v>0</v>
      </c>
      <c r="H348" s="65" t="s">
        <v>1156</v>
      </c>
    </row>
    <row r="349" spans="1:8" s="66" customFormat="1" ht="18" customHeight="1" x14ac:dyDescent="0.3">
      <c r="A349" s="63">
        <v>7143</v>
      </c>
      <c r="B349" s="64" t="s">
        <v>402</v>
      </c>
      <c r="C349" s="65" t="s">
        <v>891</v>
      </c>
      <c r="D349" s="65" t="s">
        <v>1154</v>
      </c>
      <c r="E349" s="65" t="s">
        <v>482</v>
      </c>
      <c r="F349" s="65" t="s">
        <v>1538</v>
      </c>
      <c r="G349" s="65" t="s">
        <v>7</v>
      </c>
      <c r="H349" s="65" t="s">
        <v>1168</v>
      </c>
    </row>
    <row r="350" spans="1:8" s="66" customFormat="1" ht="18" customHeight="1" x14ac:dyDescent="0.3">
      <c r="A350" s="63">
        <v>7151</v>
      </c>
      <c r="B350" s="64" t="s">
        <v>392</v>
      </c>
      <c r="C350" s="65" t="s">
        <v>891</v>
      </c>
      <c r="D350" s="65" t="s">
        <v>1220</v>
      </c>
      <c r="E350" s="65" t="s">
        <v>158</v>
      </c>
      <c r="F350" s="65" t="s">
        <v>1539</v>
      </c>
      <c r="G350" s="65" t="s">
        <v>24</v>
      </c>
      <c r="H350" s="65" t="s">
        <v>1168</v>
      </c>
    </row>
    <row r="351" spans="1:8" s="66" customFormat="1" ht="18" customHeight="1" x14ac:dyDescent="0.3">
      <c r="A351" s="63">
        <v>7157</v>
      </c>
      <c r="B351" s="64" t="s">
        <v>386</v>
      </c>
      <c r="C351" s="65" t="s">
        <v>891</v>
      </c>
      <c r="D351" s="65" t="s">
        <v>1154</v>
      </c>
      <c r="E351" s="65" t="s">
        <v>482</v>
      </c>
      <c r="F351" s="65" t="s">
        <v>1540</v>
      </c>
      <c r="G351" s="65" t="s">
        <v>16</v>
      </c>
      <c r="H351" s="65" t="s">
        <v>1353</v>
      </c>
    </row>
    <row r="352" spans="1:8" s="66" customFormat="1" ht="18" customHeight="1" x14ac:dyDescent="0.3">
      <c r="A352" s="63">
        <v>7162</v>
      </c>
      <c r="B352" s="64" t="s">
        <v>387</v>
      </c>
      <c r="C352" s="65" t="s">
        <v>891</v>
      </c>
      <c r="D352" s="65" t="s">
        <v>1154</v>
      </c>
      <c r="E352" s="65" t="s">
        <v>482</v>
      </c>
      <c r="F352" s="65" t="s">
        <v>1541</v>
      </c>
      <c r="G352" s="65" t="s">
        <v>0</v>
      </c>
      <c r="H352" s="65" t="s">
        <v>1156</v>
      </c>
    </row>
    <row r="353" spans="1:8" s="66" customFormat="1" ht="18" customHeight="1" x14ac:dyDescent="0.3">
      <c r="A353" s="63">
        <v>7164</v>
      </c>
      <c r="B353" s="64" t="s">
        <v>388</v>
      </c>
      <c r="C353" s="65" t="s">
        <v>891</v>
      </c>
      <c r="D353" s="65" t="s">
        <v>1154</v>
      </c>
      <c r="E353" s="65" t="s">
        <v>482</v>
      </c>
      <c r="F353" s="65" t="s">
        <v>1542</v>
      </c>
      <c r="G353" s="65" t="s">
        <v>0</v>
      </c>
      <c r="H353" s="65" t="s">
        <v>1156</v>
      </c>
    </row>
    <row r="354" spans="1:8" s="66" customFormat="1" ht="18" customHeight="1" x14ac:dyDescent="0.3">
      <c r="A354" s="63">
        <v>7174</v>
      </c>
      <c r="B354" s="64" t="s">
        <v>396</v>
      </c>
      <c r="C354" s="65" t="s">
        <v>891</v>
      </c>
      <c r="D354" s="65" t="s">
        <v>1154</v>
      </c>
      <c r="E354" s="65" t="s">
        <v>473</v>
      </c>
      <c r="F354" s="65" t="s">
        <v>1543</v>
      </c>
      <c r="G354" s="65" t="s">
        <v>3</v>
      </c>
      <c r="H354" s="65" t="s">
        <v>1376</v>
      </c>
    </row>
    <row r="355" spans="1:8" s="66" customFormat="1" ht="18" customHeight="1" x14ac:dyDescent="0.3">
      <c r="A355" s="63">
        <v>7177</v>
      </c>
      <c r="B355" s="64" t="s">
        <v>405</v>
      </c>
      <c r="C355" s="65" t="s">
        <v>891</v>
      </c>
      <c r="D355" s="65" t="s">
        <v>1154</v>
      </c>
      <c r="E355" s="65" t="s">
        <v>482</v>
      </c>
      <c r="F355" s="65" t="s">
        <v>1544</v>
      </c>
      <c r="G355" s="65" t="s">
        <v>11</v>
      </c>
      <c r="H355" s="65" t="s">
        <v>1236</v>
      </c>
    </row>
    <row r="356" spans="1:8" s="66" customFormat="1" ht="18" customHeight="1" x14ac:dyDescent="0.3">
      <c r="A356" s="63">
        <v>7182</v>
      </c>
      <c r="B356" s="64" t="s">
        <v>434</v>
      </c>
      <c r="C356" s="65" t="s">
        <v>891</v>
      </c>
      <c r="D356" s="65" t="s">
        <v>549</v>
      </c>
      <c r="E356" s="65" t="s">
        <v>549</v>
      </c>
      <c r="F356" s="65" t="s">
        <v>1545</v>
      </c>
      <c r="G356" s="65" t="s">
        <v>0</v>
      </c>
      <c r="H356" s="65" t="s">
        <v>1156</v>
      </c>
    </row>
    <row r="357" spans="1:8" s="66" customFormat="1" ht="18" customHeight="1" x14ac:dyDescent="0.3">
      <c r="A357" s="63">
        <v>7184</v>
      </c>
      <c r="B357" s="64" t="s">
        <v>443</v>
      </c>
      <c r="C357" s="65" t="s">
        <v>891</v>
      </c>
      <c r="D357" s="65" t="s">
        <v>1220</v>
      </c>
      <c r="E357" s="65" t="s">
        <v>158</v>
      </c>
      <c r="F357" s="65" t="s">
        <v>1546</v>
      </c>
      <c r="G357" s="65" t="s">
        <v>12</v>
      </c>
      <c r="H357" s="65" t="s">
        <v>1197</v>
      </c>
    </row>
    <row r="358" spans="1:8" s="66" customFormat="1" ht="18" customHeight="1" x14ac:dyDescent="0.3">
      <c r="A358" s="63">
        <v>7192</v>
      </c>
      <c r="B358" s="64" t="s">
        <v>406</v>
      </c>
      <c r="C358" s="65" t="s">
        <v>1169</v>
      </c>
      <c r="D358" s="65" t="s">
        <v>1154</v>
      </c>
      <c r="E358" s="65" t="s">
        <v>482</v>
      </c>
      <c r="F358" s="65" t="s">
        <v>1547</v>
      </c>
      <c r="G358" s="65" t="s">
        <v>370</v>
      </c>
      <c r="H358" s="65" t="s">
        <v>1168</v>
      </c>
    </row>
    <row r="359" spans="1:8" s="66" customFormat="1" ht="18" customHeight="1" x14ac:dyDescent="0.3">
      <c r="A359" s="63">
        <v>7194</v>
      </c>
      <c r="B359" s="64" t="s">
        <v>408</v>
      </c>
      <c r="C359" s="65" t="s">
        <v>1169</v>
      </c>
      <c r="D359" s="65" t="s">
        <v>1154</v>
      </c>
      <c r="E359" s="65" t="s">
        <v>482</v>
      </c>
      <c r="F359" s="65" t="s">
        <v>1548</v>
      </c>
      <c r="G359" s="65" t="s">
        <v>6</v>
      </c>
      <c r="H359" s="65" t="s">
        <v>1190</v>
      </c>
    </row>
    <row r="360" spans="1:8" s="66" customFormat="1" ht="18" customHeight="1" x14ac:dyDescent="0.3">
      <c r="A360" s="63">
        <v>7222</v>
      </c>
      <c r="B360" s="64" t="s">
        <v>444</v>
      </c>
      <c r="C360" s="65" t="s">
        <v>891</v>
      </c>
      <c r="D360" s="65" t="s">
        <v>1220</v>
      </c>
      <c r="E360" s="65" t="s">
        <v>158</v>
      </c>
      <c r="F360" s="65" t="s">
        <v>1549</v>
      </c>
      <c r="G360" s="65" t="s">
        <v>0</v>
      </c>
      <c r="H360" s="65" t="s">
        <v>1185</v>
      </c>
    </row>
    <row r="361" spans="1:8" s="66" customFormat="1" ht="18" customHeight="1" x14ac:dyDescent="0.3">
      <c r="A361" s="63">
        <v>7226</v>
      </c>
      <c r="B361" s="64" t="s">
        <v>409</v>
      </c>
      <c r="C361" s="65" t="s">
        <v>1169</v>
      </c>
      <c r="D361" s="65" t="s">
        <v>1154</v>
      </c>
      <c r="E361" s="65" t="s">
        <v>482</v>
      </c>
      <c r="F361" s="65" t="s">
        <v>1550</v>
      </c>
      <c r="G361" s="65" t="s">
        <v>154</v>
      </c>
      <c r="H361" s="65" t="s">
        <v>1168</v>
      </c>
    </row>
    <row r="362" spans="1:8" s="66" customFormat="1" ht="18" customHeight="1" x14ac:dyDescent="0.3">
      <c r="A362" s="63">
        <v>7239</v>
      </c>
      <c r="B362" s="64" t="s">
        <v>652</v>
      </c>
      <c r="C362" s="65" t="s">
        <v>1169</v>
      </c>
      <c r="D362" s="65" t="s">
        <v>1154</v>
      </c>
      <c r="E362" s="65" t="s">
        <v>482</v>
      </c>
      <c r="F362" s="65" t="s">
        <v>1551</v>
      </c>
      <c r="G362" s="65" t="s">
        <v>154</v>
      </c>
      <c r="H362" s="65" t="s">
        <v>1168</v>
      </c>
    </row>
    <row r="363" spans="1:8" s="66" customFormat="1" ht="18" customHeight="1" x14ac:dyDescent="0.3">
      <c r="A363" s="63">
        <v>7247</v>
      </c>
      <c r="B363" s="64" t="s">
        <v>410</v>
      </c>
      <c r="C363" s="65" t="s">
        <v>1169</v>
      </c>
      <c r="D363" s="65" t="s">
        <v>1154</v>
      </c>
      <c r="E363" s="65" t="s">
        <v>482</v>
      </c>
      <c r="F363" s="65" t="s">
        <v>1552</v>
      </c>
      <c r="G363" s="65" t="s">
        <v>152</v>
      </c>
      <c r="H363" s="65" t="s">
        <v>1181</v>
      </c>
    </row>
    <row r="364" spans="1:8" s="66" customFormat="1" ht="18" customHeight="1" x14ac:dyDescent="0.3">
      <c r="A364" s="63">
        <v>7248</v>
      </c>
      <c r="B364" s="64" t="s">
        <v>411</v>
      </c>
      <c r="C364" s="65" t="s">
        <v>1169</v>
      </c>
      <c r="D364" s="65" t="s">
        <v>1154</v>
      </c>
      <c r="E364" s="65" t="s">
        <v>482</v>
      </c>
      <c r="F364" s="65" t="s">
        <v>1553</v>
      </c>
      <c r="G364" s="65" t="s">
        <v>370</v>
      </c>
      <c r="H364" s="65" t="s">
        <v>1554</v>
      </c>
    </row>
    <row r="365" spans="1:8" s="66" customFormat="1" ht="18" customHeight="1" x14ac:dyDescent="0.3">
      <c r="A365" s="63">
        <v>7249</v>
      </c>
      <c r="B365" s="64" t="s">
        <v>393</v>
      </c>
      <c r="C365" s="65" t="s">
        <v>1169</v>
      </c>
      <c r="D365" s="65" t="s">
        <v>1220</v>
      </c>
      <c r="E365" s="65" t="s">
        <v>158</v>
      </c>
      <c r="F365" s="65" t="s">
        <v>1555</v>
      </c>
      <c r="G365" s="65" t="s">
        <v>6</v>
      </c>
      <c r="H365" s="65" t="s">
        <v>1190</v>
      </c>
    </row>
    <row r="366" spans="1:8" s="66" customFormat="1" ht="18" customHeight="1" x14ac:dyDescent="0.3">
      <c r="A366" s="63">
        <v>7252</v>
      </c>
      <c r="B366" s="64" t="s">
        <v>412</v>
      </c>
      <c r="C366" s="65" t="s">
        <v>891</v>
      </c>
      <c r="D366" s="65" t="s">
        <v>1154</v>
      </c>
      <c r="E366" s="65" t="s">
        <v>473</v>
      </c>
      <c r="F366" s="65" t="s">
        <v>1556</v>
      </c>
      <c r="G366" s="65" t="s">
        <v>16</v>
      </c>
      <c r="H366" s="65" t="s">
        <v>1557</v>
      </c>
    </row>
    <row r="367" spans="1:8" s="66" customFormat="1" ht="18" customHeight="1" x14ac:dyDescent="0.3">
      <c r="A367" s="63">
        <v>7253</v>
      </c>
      <c r="B367" s="64" t="s">
        <v>413</v>
      </c>
      <c r="C367" s="65" t="s">
        <v>891</v>
      </c>
      <c r="D367" s="65" t="s">
        <v>1154</v>
      </c>
      <c r="E367" s="65" t="s">
        <v>482</v>
      </c>
      <c r="F367" s="65" t="s">
        <v>1558</v>
      </c>
      <c r="G367" s="65" t="s">
        <v>16</v>
      </c>
      <c r="H367" s="65" t="s">
        <v>1207</v>
      </c>
    </row>
    <row r="368" spans="1:8" s="66" customFormat="1" ht="18" customHeight="1" x14ac:dyDescent="0.3">
      <c r="A368" s="63">
        <v>7254</v>
      </c>
      <c r="B368" s="64" t="s">
        <v>414</v>
      </c>
      <c r="C368" s="65" t="s">
        <v>891</v>
      </c>
      <c r="D368" s="65" t="s">
        <v>1154</v>
      </c>
      <c r="E368" s="65" t="s">
        <v>482</v>
      </c>
      <c r="F368" s="65" t="s">
        <v>1559</v>
      </c>
      <c r="G368" s="65" t="s">
        <v>7</v>
      </c>
      <c r="H368" s="65" t="s">
        <v>1168</v>
      </c>
    </row>
    <row r="369" spans="1:8" s="66" customFormat="1" ht="18" customHeight="1" x14ac:dyDescent="0.3">
      <c r="A369" s="63">
        <v>7266</v>
      </c>
      <c r="B369" s="64" t="s">
        <v>445</v>
      </c>
      <c r="C369" s="65" t="s">
        <v>891</v>
      </c>
      <c r="D369" s="65" t="s">
        <v>1220</v>
      </c>
      <c r="E369" s="65" t="s">
        <v>158</v>
      </c>
      <c r="F369" s="65" t="s">
        <v>1560</v>
      </c>
      <c r="G369" s="65" t="s">
        <v>3</v>
      </c>
      <c r="H369" s="65" t="s">
        <v>1376</v>
      </c>
    </row>
    <row r="370" spans="1:8" s="66" customFormat="1" ht="18" customHeight="1" x14ac:dyDescent="0.3">
      <c r="A370" s="63">
        <v>7267</v>
      </c>
      <c r="B370" s="64" t="s">
        <v>394</v>
      </c>
      <c r="C370" s="65" t="s">
        <v>891</v>
      </c>
      <c r="D370" s="65" t="s">
        <v>1220</v>
      </c>
      <c r="E370" s="65" t="s">
        <v>158</v>
      </c>
      <c r="F370" s="65" t="s">
        <v>1561</v>
      </c>
      <c r="G370" s="65" t="s">
        <v>18</v>
      </c>
      <c r="H370" s="65" t="s">
        <v>1168</v>
      </c>
    </row>
    <row r="371" spans="1:8" s="66" customFormat="1" ht="18" customHeight="1" x14ac:dyDescent="0.3">
      <c r="A371" s="63">
        <v>7282</v>
      </c>
      <c r="B371" s="64" t="s">
        <v>653</v>
      </c>
      <c r="C371" s="65" t="s">
        <v>891</v>
      </c>
      <c r="D371" s="65" t="s">
        <v>1154</v>
      </c>
      <c r="E371" s="65" t="s">
        <v>482</v>
      </c>
      <c r="F371" s="65" t="s">
        <v>1562</v>
      </c>
      <c r="G371" s="65" t="s">
        <v>15</v>
      </c>
      <c r="H371" s="65" t="s">
        <v>1168</v>
      </c>
    </row>
    <row r="372" spans="1:8" s="66" customFormat="1" ht="18" customHeight="1" x14ac:dyDescent="0.3">
      <c r="A372" s="63">
        <v>7283</v>
      </c>
      <c r="B372" s="64" t="s">
        <v>395</v>
      </c>
      <c r="C372" s="65" t="s">
        <v>891</v>
      </c>
      <c r="D372" s="65" t="s">
        <v>1220</v>
      </c>
      <c r="E372" s="65" t="s">
        <v>158</v>
      </c>
      <c r="F372" s="65" t="s">
        <v>1563</v>
      </c>
      <c r="G372" s="65" t="s">
        <v>11</v>
      </c>
      <c r="H372" s="65" t="s">
        <v>1168</v>
      </c>
    </row>
    <row r="373" spans="1:8" s="66" customFormat="1" ht="18" customHeight="1" x14ac:dyDescent="0.3">
      <c r="A373" s="63">
        <v>7293</v>
      </c>
      <c r="B373" s="64" t="s">
        <v>416</v>
      </c>
      <c r="C373" s="65" t="s">
        <v>891</v>
      </c>
      <c r="D373" s="65" t="s">
        <v>1154</v>
      </c>
      <c r="E373" s="65" t="s">
        <v>473</v>
      </c>
      <c r="F373" s="65" t="s">
        <v>1564</v>
      </c>
      <c r="G373" s="65" t="s">
        <v>16</v>
      </c>
      <c r="H373" s="65" t="s">
        <v>1565</v>
      </c>
    </row>
    <row r="374" spans="1:8" s="66" customFormat="1" ht="18" customHeight="1" x14ac:dyDescent="0.3">
      <c r="A374" s="63">
        <v>7294</v>
      </c>
      <c r="B374" s="64" t="s">
        <v>397</v>
      </c>
      <c r="C374" s="65" t="s">
        <v>891</v>
      </c>
      <c r="D374" s="65" t="s">
        <v>1154</v>
      </c>
      <c r="E374" s="65" t="s">
        <v>482</v>
      </c>
      <c r="F374" s="65" t="s">
        <v>1566</v>
      </c>
      <c r="G374" s="65" t="s">
        <v>16</v>
      </c>
      <c r="H374" s="65" t="s">
        <v>1207</v>
      </c>
    </row>
    <row r="375" spans="1:8" s="66" customFormat="1" ht="18" customHeight="1" x14ac:dyDescent="0.3">
      <c r="A375" s="63">
        <v>7295</v>
      </c>
      <c r="B375" s="64" t="s">
        <v>417</v>
      </c>
      <c r="C375" s="65" t="s">
        <v>891</v>
      </c>
      <c r="D375" s="65" t="s">
        <v>1154</v>
      </c>
      <c r="E375" s="65" t="s">
        <v>473</v>
      </c>
      <c r="F375" s="65" t="s">
        <v>1567</v>
      </c>
      <c r="G375" s="65" t="s">
        <v>3</v>
      </c>
      <c r="H375" s="65" t="s">
        <v>1568</v>
      </c>
    </row>
    <row r="376" spans="1:8" s="66" customFormat="1" ht="18" customHeight="1" x14ac:dyDescent="0.3">
      <c r="A376" s="63">
        <v>7296</v>
      </c>
      <c r="B376" s="64" t="s">
        <v>418</v>
      </c>
      <c r="C376" s="65" t="s">
        <v>891</v>
      </c>
      <c r="D376" s="65" t="s">
        <v>1154</v>
      </c>
      <c r="E376" s="65" t="s">
        <v>482</v>
      </c>
      <c r="F376" s="65" t="s">
        <v>1569</v>
      </c>
      <c r="G376" s="65" t="s">
        <v>16</v>
      </c>
      <c r="H376" s="65" t="s">
        <v>1570</v>
      </c>
    </row>
    <row r="377" spans="1:8" s="66" customFormat="1" ht="18" customHeight="1" x14ac:dyDescent="0.3">
      <c r="A377" s="63">
        <v>7308</v>
      </c>
      <c r="B377" s="64" t="s">
        <v>419</v>
      </c>
      <c r="C377" s="65" t="s">
        <v>1169</v>
      </c>
      <c r="D377" s="65" t="s">
        <v>1154</v>
      </c>
      <c r="E377" s="65" t="s">
        <v>473</v>
      </c>
      <c r="F377" s="65" t="s">
        <v>1571</v>
      </c>
      <c r="G377" s="65" t="s">
        <v>155</v>
      </c>
      <c r="H377" s="65" t="s">
        <v>1572</v>
      </c>
    </row>
    <row r="378" spans="1:8" s="66" customFormat="1" ht="18" customHeight="1" x14ac:dyDescent="0.3">
      <c r="A378" s="63">
        <v>7309</v>
      </c>
      <c r="B378" s="64" t="s">
        <v>420</v>
      </c>
      <c r="C378" s="65" t="s">
        <v>1169</v>
      </c>
      <c r="D378" s="65" t="s">
        <v>1154</v>
      </c>
      <c r="E378" s="65" t="s">
        <v>482</v>
      </c>
      <c r="F378" s="65" t="s">
        <v>1573</v>
      </c>
      <c r="G378" s="65" t="s">
        <v>153</v>
      </c>
      <c r="H378" s="65" t="s">
        <v>1179</v>
      </c>
    </row>
    <row r="379" spans="1:8" s="66" customFormat="1" ht="18" customHeight="1" x14ac:dyDescent="0.3">
      <c r="A379" s="63">
        <v>7313</v>
      </c>
      <c r="B379" s="64" t="s">
        <v>421</v>
      </c>
      <c r="C379" s="65" t="s">
        <v>1169</v>
      </c>
      <c r="D379" s="65" t="s">
        <v>1154</v>
      </c>
      <c r="E379" s="65" t="s">
        <v>482</v>
      </c>
      <c r="F379" s="65" t="s">
        <v>1574</v>
      </c>
      <c r="G379" s="65" t="s">
        <v>6</v>
      </c>
      <c r="H379" s="65" t="s">
        <v>1190</v>
      </c>
    </row>
    <row r="380" spans="1:8" s="66" customFormat="1" ht="18" customHeight="1" x14ac:dyDescent="0.3">
      <c r="A380" s="63">
        <v>7320</v>
      </c>
      <c r="B380" s="64" t="s">
        <v>734</v>
      </c>
      <c r="C380" s="65" t="s">
        <v>1169</v>
      </c>
      <c r="D380" s="65" t="s">
        <v>1220</v>
      </c>
      <c r="E380" s="65" t="s">
        <v>158</v>
      </c>
      <c r="F380" s="65" t="s">
        <v>1575</v>
      </c>
      <c r="G380" s="65" t="s">
        <v>156</v>
      </c>
      <c r="H380" s="65" t="s">
        <v>1168</v>
      </c>
    </row>
    <row r="381" spans="1:8" s="66" customFormat="1" ht="18" customHeight="1" x14ac:dyDescent="0.3">
      <c r="A381" s="63">
        <v>7328</v>
      </c>
      <c r="B381" s="64" t="s">
        <v>654</v>
      </c>
      <c r="C381" s="65" t="s">
        <v>1169</v>
      </c>
      <c r="D381" s="65" t="s">
        <v>1154</v>
      </c>
      <c r="E381" s="65" t="s">
        <v>473</v>
      </c>
      <c r="F381" s="65" t="s">
        <v>1576</v>
      </c>
      <c r="G381" s="65" t="s">
        <v>154</v>
      </c>
      <c r="H381" s="65" t="s">
        <v>1577</v>
      </c>
    </row>
    <row r="382" spans="1:8" s="66" customFormat="1" ht="18" customHeight="1" x14ac:dyDescent="0.3">
      <c r="A382" s="63">
        <v>7331</v>
      </c>
      <c r="B382" s="64" t="s">
        <v>656</v>
      </c>
      <c r="C382" s="65" t="s">
        <v>1169</v>
      </c>
      <c r="D382" s="65" t="s">
        <v>1154</v>
      </c>
      <c r="E382" s="65" t="s">
        <v>482</v>
      </c>
      <c r="F382" s="65" t="s">
        <v>1578</v>
      </c>
      <c r="G382" s="65" t="s">
        <v>152</v>
      </c>
      <c r="H382" s="65" t="s">
        <v>1181</v>
      </c>
    </row>
    <row r="383" spans="1:8" s="66" customFormat="1" ht="18" customHeight="1" x14ac:dyDescent="0.3">
      <c r="A383" s="63">
        <v>7340</v>
      </c>
      <c r="B383" s="64" t="s">
        <v>422</v>
      </c>
      <c r="C383" s="65" t="s">
        <v>1169</v>
      </c>
      <c r="D383" s="65" t="s">
        <v>1154</v>
      </c>
      <c r="E383" s="65" t="s">
        <v>482</v>
      </c>
      <c r="F383" s="65" t="s">
        <v>1579</v>
      </c>
      <c r="G383" s="65" t="s">
        <v>152</v>
      </c>
      <c r="H383" s="65" t="s">
        <v>1580</v>
      </c>
    </row>
    <row r="384" spans="1:8" s="66" customFormat="1" ht="18" customHeight="1" x14ac:dyDescent="0.3">
      <c r="A384" s="63">
        <v>7341</v>
      </c>
      <c r="B384" s="64" t="s">
        <v>423</v>
      </c>
      <c r="C384" s="65" t="s">
        <v>1169</v>
      </c>
      <c r="D384" s="65" t="s">
        <v>1154</v>
      </c>
      <c r="E384" s="65" t="s">
        <v>482</v>
      </c>
      <c r="F384" s="65" t="s">
        <v>1581</v>
      </c>
      <c r="G384" s="65" t="s">
        <v>152</v>
      </c>
      <c r="H384" s="65" t="s">
        <v>1181</v>
      </c>
    </row>
    <row r="385" spans="1:8" s="66" customFormat="1" ht="18" customHeight="1" x14ac:dyDescent="0.3">
      <c r="A385" s="63">
        <v>7342</v>
      </c>
      <c r="B385" s="64" t="s">
        <v>657</v>
      </c>
      <c r="C385" s="65" t="s">
        <v>1169</v>
      </c>
      <c r="D385" s="65" t="s">
        <v>1220</v>
      </c>
      <c r="E385" s="65" t="s">
        <v>158</v>
      </c>
      <c r="F385" s="65" t="s">
        <v>1582</v>
      </c>
      <c r="G385" s="65" t="s">
        <v>152</v>
      </c>
      <c r="H385" s="65" t="s">
        <v>1181</v>
      </c>
    </row>
    <row r="386" spans="1:8" s="66" customFormat="1" ht="18" customHeight="1" x14ac:dyDescent="0.3">
      <c r="A386" s="63">
        <v>7344</v>
      </c>
      <c r="B386" s="64" t="s">
        <v>424</v>
      </c>
      <c r="C386" s="65" t="s">
        <v>1169</v>
      </c>
      <c r="D386" s="65" t="s">
        <v>1154</v>
      </c>
      <c r="E386" s="65" t="s">
        <v>482</v>
      </c>
      <c r="F386" s="65" t="s">
        <v>1583</v>
      </c>
      <c r="G386" s="65" t="s">
        <v>152</v>
      </c>
      <c r="H386" s="65" t="s">
        <v>1584</v>
      </c>
    </row>
    <row r="387" spans="1:8" s="66" customFormat="1" ht="18" customHeight="1" x14ac:dyDescent="0.3">
      <c r="A387" s="63">
        <v>7345</v>
      </c>
      <c r="B387" s="64" t="s">
        <v>446</v>
      </c>
      <c r="C387" s="65" t="s">
        <v>1169</v>
      </c>
      <c r="D387" s="65" t="s">
        <v>1220</v>
      </c>
      <c r="E387" s="65" t="s">
        <v>158</v>
      </c>
      <c r="F387" s="65" t="s">
        <v>1585</v>
      </c>
      <c r="G387" s="65" t="s">
        <v>152</v>
      </c>
      <c r="H387" s="65" t="s">
        <v>1181</v>
      </c>
    </row>
    <row r="388" spans="1:8" s="66" customFormat="1" ht="18" customHeight="1" x14ac:dyDescent="0.3">
      <c r="A388" s="63">
        <v>7347</v>
      </c>
      <c r="B388" s="64" t="s">
        <v>796</v>
      </c>
      <c r="C388" s="65" t="s">
        <v>1169</v>
      </c>
      <c r="D388" s="65" t="s">
        <v>1154</v>
      </c>
      <c r="E388" s="65" t="s">
        <v>482</v>
      </c>
      <c r="F388" s="65" t="s">
        <v>1586</v>
      </c>
      <c r="G388" s="65" t="s">
        <v>152</v>
      </c>
      <c r="H388" s="65" t="s">
        <v>1181</v>
      </c>
    </row>
    <row r="389" spans="1:8" s="66" customFormat="1" ht="18" customHeight="1" x14ac:dyDescent="0.3">
      <c r="A389" s="63">
        <v>7349</v>
      </c>
      <c r="B389" s="64" t="s">
        <v>447</v>
      </c>
      <c r="C389" s="65" t="s">
        <v>1169</v>
      </c>
      <c r="D389" s="65" t="s">
        <v>1220</v>
      </c>
      <c r="E389" s="65" t="s">
        <v>158</v>
      </c>
      <c r="F389" s="65" t="s">
        <v>1587</v>
      </c>
      <c r="G389" s="65" t="s">
        <v>152</v>
      </c>
      <c r="H389" s="65" t="s">
        <v>1181</v>
      </c>
    </row>
    <row r="390" spans="1:8" s="66" customFormat="1" ht="18" customHeight="1" x14ac:dyDescent="0.3">
      <c r="A390" s="63">
        <v>7350</v>
      </c>
      <c r="B390" s="64" t="s">
        <v>448</v>
      </c>
      <c r="C390" s="65" t="s">
        <v>1169</v>
      </c>
      <c r="D390" s="65" t="s">
        <v>1220</v>
      </c>
      <c r="E390" s="65" t="s">
        <v>158</v>
      </c>
      <c r="F390" s="65" t="s">
        <v>1588</v>
      </c>
      <c r="G390" s="65" t="s">
        <v>152</v>
      </c>
      <c r="H390" s="65" t="s">
        <v>1297</v>
      </c>
    </row>
    <row r="391" spans="1:8" s="66" customFormat="1" ht="18" customHeight="1" x14ac:dyDescent="0.3">
      <c r="A391" s="63">
        <v>7351</v>
      </c>
      <c r="B391" s="64" t="s">
        <v>449</v>
      </c>
      <c r="C391" s="65" t="s">
        <v>1169</v>
      </c>
      <c r="D391" s="65" t="s">
        <v>1220</v>
      </c>
      <c r="E391" s="65" t="s">
        <v>158</v>
      </c>
      <c r="F391" s="65" t="s">
        <v>1589</v>
      </c>
      <c r="G391" s="65" t="s">
        <v>152</v>
      </c>
      <c r="H391" s="65" t="s">
        <v>1181</v>
      </c>
    </row>
    <row r="392" spans="1:8" s="66" customFormat="1" ht="18" customHeight="1" x14ac:dyDescent="0.3">
      <c r="A392" s="63">
        <v>7358</v>
      </c>
      <c r="B392" s="64" t="s">
        <v>398</v>
      </c>
      <c r="C392" s="65" t="s">
        <v>891</v>
      </c>
      <c r="D392" s="65" t="s">
        <v>1154</v>
      </c>
      <c r="E392" s="65" t="s">
        <v>1</v>
      </c>
      <c r="F392" s="65" t="s">
        <v>1590</v>
      </c>
      <c r="G392" s="65" t="s">
        <v>3</v>
      </c>
      <c r="H392" s="65" t="s">
        <v>1376</v>
      </c>
    </row>
    <row r="393" spans="1:8" s="66" customFormat="1" ht="18" customHeight="1" x14ac:dyDescent="0.3">
      <c r="A393" s="63">
        <v>7359</v>
      </c>
      <c r="B393" s="64" t="s">
        <v>450</v>
      </c>
      <c r="C393" s="65" t="s">
        <v>891</v>
      </c>
      <c r="D393" s="65" t="s">
        <v>1220</v>
      </c>
      <c r="E393" s="65" t="s">
        <v>158</v>
      </c>
      <c r="F393" s="65" t="s">
        <v>1591</v>
      </c>
      <c r="G393" s="65" t="s">
        <v>0</v>
      </c>
      <c r="H393" s="65" t="s">
        <v>1183</v>
      </c>
    </row>
    <row r="394" spans="1:8" s="66" customFormat="1" ht="18" customHeight="1" x14ac:dyDescent="0.3">
      <c r="A394" s="63">
        <v>7401</v>
      </c>
      <c r="B394" s="64" t="s">
        <v>425</v>
      </c>
      <c r="C394" s="65" t="s">
        <v>891</v>
      </c>
      <c r="D394" s="65" t="s">
        <v>1154</v>
      </c>
      <c r="E394" s="65" t="s">
        <v>693</v>
      </c>
      <c r="F394" s="65" t="s">
        <v>1592</v>
      </c>
      <c r="G394" s="65" t="s">
        <v>16</v>
      </c>
      <c r="H394" s="65" t="s">
        <v>1593</v>
      </c>
    </row>
    <row r="395" spans="1:8" s="66" customFormat="1" ht="18" customHeight="1" x14ac:dyDescent="0.3">
      <c r="A395" s="63">
        <v>7412</v>
      </c>
      <c r="B395" s="64" t="s">
        <v>735</v>
      </c>
      <c r="C395" s="65" t="s">
        <v>891</v>
      </c>
      <c r="D395" s="65" t="s">
        <v>1154</v>
      </c>
      <c r="E395" s="65" t="s">
        <v>482</v>
      </c>
      <c r="F395" s="65" t="s">
        <v>1594</v>
      </c>
      <c r="G395" s="65" t="s">
        <v>0</v>
      </c>
      <c r="H395" s="65" t="s">
        <v>1156</v>
      </c>
    </row>
    <row r="396" spans="1:8" s="66" customFormat="1" ht="18" customHeight="1" x14ac:dyDescent="0.3">
      <c r="A396" s="63">
        <v>7424</v>
      </c>
      <c r="B396" s="64" t="s">
        <v>451</v>
      </c>
      <c r="C396" s="65" t="s">
        <v>891</v>
      </c>
      <c r="D396" s="65" t="s">
        <v>1220</v>
      </c>
      <c r="E396" s="65" t="s">
        <v>158</v>
      </c>
      <c r="F396" s="65" t="s">
        <v>1595</v>
      </c>
      <c r="G396" s="65" t="s">
        <v>17</v>
      </c>
      <c r="H396" s="65" t="s">
        <v>1212</v>
      </c>
    </row>
    <row r="397" spans="1:8" s="66" customFormat="1" ht="18" customHeight="1" x14ac:dyDescent="0.3">
      <c r="A397" s="63">
        <v>7428</v>
      </c>
      <c r="B397" s="64" t="s">
        <v>426</v>
      </c>
      <c r="C397" s="65" t="s">
        <v>891</v>
      </c>
      <c r="D397" s="65" t="s">
        <v>1154</v>
      </c>
      <c r="E397" s="65" t="s">
        <v>693</v>
      </c>
      <c r="F397" s="65" t="s">
        <v>1596</v>
      </c>
      <c r="G397" s="65" t="s">
        <v>157</v>
      </c>
      <c r="H397" s="65" t="s">
        <v>1597</v>
      </c>
    </row>
    <row r="398" spans="1:8" s="66" customFormat="1" ht="18" customHeight="1" x14ac:dyDescent="0.3">
      <c r="A398" s="63">
        <v>7429</v>
      </c>
      <c r="B398" s="64" t="s">
        <v>452</v>
      </c>
      <c r="C398" s="65" t="s">
        <v>891</v>
      </c>
      <c r="D398" s="65" t="s">
        <v>1220</v>
      </c>
      <c r="E398" s="65" t="s">
        <v>158</v>
      </c>
      <c r="F398" s="65" t="s">
        <v>1598</v>
      </c>
      <c r="G398" s="65" t="s">
        <v>14</v>
      </c>
      <c r="H398" s="65" t="s">
        <v>1168</v>
      </c>
    </row>
    <row r="399" spans="1:8" s="66" customFormat="1" ht="18" customHeight="1" x14ac:dyDescent="0.3">
      <c r="A399" s="63">
        <v>7432</v>
      </c>
      <c r="B399" s="64" t="s">
        <v>453</v>
      </c>
      <c r="C399" s="65" t="s">
        <v>891</v>
      </c>
      <c r="D399" s="65" t="s">
        <v>1220</v>
      </c>
      <c r="E399" s="65" t="s">
        <v>158</v>
      </c>
      <c r="F399" s="65" t="s">
        <v>1599</v>
      </c>
      <c r="G399" s="65" t="s">
        <v>0</v>
      </c>
      <c r="H399" s="65" t="s">
        <v>1156</v>
      </c>
    </row>
    <row r="400" spans="1:8" s="66" customFormat="1" ht="18" customHeight="1" x14ac:dyDescent="0.3">
      <c r="A400" s="63">
        <v>7437</v>
      </c>
      <c r="B400" s="64" t="s">
        <v>427</v>
      </c>
      <c r="C400" s="65" t="s">
        <v>1169</v>
      </c>
      <c r="D400" s="65" t="s">
        <v>1154</v>
      </c>
      <c r="E400" s="65" t="s">
        <v>482</v>
      </c>
      <c r="F400" s="65" t="s">
        <v>1600</v>
      </c>
      <c r="G400" s="65" t="s">
        <v>155</v>
      </c>
      <c r="H400" s="65" t="s">
        <v>1256</v>
      </c>
    </row>
    <row r="401" spans="1:8" s="66" customFormat="1" ht="18" customHeight="1" x14ac:dyDescent="0.3">
      <c r="A401" s="63">
        <v>7439</v>
      </c>
      <c r="B401" s="64" t="s">
        <v>428</v>
      </c>
      <c r="C401" s="65" t="s">
        <v>891</v>
      </c>
      <c r="D401" s="65" t="s">
        <v>1154</v>
      </c>
      <c r="E401" s="65" t="s">
        <v>693</v>
      </c>
      <c r="F401" s="65" t="s">
        <v>1601</v>
      </c>
      <c r="G401" s="65" t="s">
        <v>16</v>
      </c>
      <c r="H401" s="65" t="s">
        <v>1602</v>
      </c>
    </row>
    <row r="402" spans="1:8" s="66" customFormat="1" ht="18" customHeight="1" x14ac:dyDescent="0.3">
      <c r="A402" s="63">
        <v>7440</v>
      </c>
      <c r="B402" s="64" t="s">
        <v>429</v>
      </c>
      <c r="C402" s="65" t="s">
        <v>891</v>
      </c>
      <c r="D402" s="65" t="s">
        <v>1154</v>
      </c>
      <c r="E402" s="65" t="s">
        <v>693</v>
      </c>
      <c r="F402" s="65" t="s">
        <v>1603</v>
      </c>
      <c r="G402" s="65" t="s">
        <v>0</v>
      </c>
      <c r="H402" s="65" t="s">
        <v>1604</v>
      </c>
    </row>
    <row r="403" spans="1:8" s="66" customFormat="1" ht="18" customHeight="1" x14ac:dyDescent="0.3">
      <c r="A403" s="63">
        <v>7441</v>
      </c>
      <c r="B403" s="64" t="s">
        <v>430</v>
      </c>
      <c r="C403" s="65" t="s">
        <v>891</v>
      </c>
      <c r="D403" s="65" t="s">
        <v>1154</v>
      </c>
      <c r="E403" s="65" t="s">
        <v>693</v>
      </c>
      <c r="F403" s="65" t="s">
        <v>1605</v>
      </c>
      <c r="G403" s="65" t="s">
        <v>0</v>
      </c>
      <c r="H403" s="65" t="s">
        <v>1185</v>
      </c>
    </row>
    <row r="404" spans="1:8" s="66" customFormat="1" ht="18" customHeight="1" x14ac:dyDescent="0.3">
      <c r="A404" s="63">
        <v>7442</v>
      </c>
      <c r="B404" s="64" t="s">
        <v>431</v>
      </c>
      <c r="C404" s="65" t="s">
        <v>891</v>
      </c>
      <c r="D404" s="65" t="s">
        <v>1154</v>
      </c>
      <c r="E404" s="65" t="s">
        <v>693</v>
      </c>
      <c r="F404" s="65" t="s">
        <v>1606</v>
      </c>
      <c r="G404" s="65" t="s">
        <v>5</v>
      </c>
      <c r="H404" s="65" t="s">
        <v>1607</v>
      </c>
    </row>
    <row r="405" spans="1:8" s="66" customFormat="1" ht="18" customHeight="1" x14ac:dyDescent="0.3">
      <c r="A405" s="63">
        <v>7443</v>
      </c>
      <c r="B405" s="64" t="s">
        <v>432</v>
      </c>
      <c r="C405" s="65" t="s">
        <v>891</v>
      </c>
      <c r="D405" s="65" t="s">
        <v>1154</v>
      </c>
      <c r="E405" s="65" t="s">
        <v>693</v>
      </c>
      <c r="F405" s="65" t="s">
        <v>1608</v>
      </c>
      <c r="G405" s="65" t="s">
        <v>157</v>
      </c>
      <c r="H405" s="65" t="s">
        <v>1597</v>
      </c>
    </row>
    <row r="406" spans="1:8" s="66" customFormat="1" ht="18" customHeight="1" x14ac:dyDescent="0.3">
      <c r="A406" s="63">
        <v>7447</v>
      </c>
      <c r="B406" s="64" t="s">
        <v>658</v>
      </c>
      <c r="C406" s="65" t="s">
        <v>891</v>
      </c>
      <c r="D406" s="65" t="s">
        <v>1154</v>
      </c>
      <c r="E406" s="65" t="s">
        <v>693</v>
      </c>
      <c r="F406" s="65" t="s">
        <v>1609</v>
      </c>
      <c r="G406" s="65" t="s">
        <v>7</v>
      </c>
      <c r="H406" s="65" t="s">
        <v>1610</v>
      </c>
    </row>
    <row r="407" spans="1:8" s="66" customFormat="1" ht="18" customHeight="1" x14ac:dyDescent="0.3">
      <c r="A407" s="63">
        <v>7448</v>
      </c>
      <c r="B407" s="64" t="s">
        <v>659</v>
      </c>
      <c r="C407" s="65" t="s">
        <v>891</v>
      </c>
      <c r="D407" s="65" t="s">
        <v>1154</v>
      </c>
      <c r="E407" s="65" t="s">
        <v>693</v>
      </c>
      <c r="F407" s="65" t="s">
        <v>1611</v>
      </c>
      <c r="G407" s="65" t="s">
        <v>14</v>
      </c>
      <c r="H407" s="65" t="s">
        <v>1612</v>
      </c>
    </row>
    <row r="408" spans="1:8" s="66" customFormat="1" ht="18" customHeight="1" x14ac:dyDescent="0.3">
      <c r="A408" s="63">
        <v>7449</v>
      </c>
      <c r="B408" s="64" t="s">
        <v>1123</v>
      </c>
      <c r="C408" s="65" t="s">
        <v>891</v>
      </c>
      <c r="D408" s="65" t="s">
        <v>1154</v>
      </c>
      <c r="E408" s="65" t="s">
        <v>693</v>
      </c>
      <c r="F408" s="65" t="s">
        <v>1613</v>
      </c>
      <c r="G408" s="65" t="s">
        <v>1122</v>
      </c>
      <c r="H408" s="65" t="s">
        <v>1614</v>
      </c>
    </row>
    <row r="409" spans="1:8" s="66" customFormat="1" ht="18" customHeight="1" x14ac:dyDescent="0.3">
      <c r="A409" s="63">
        <v>7452</v>
      </c>
      <c r="B409" s="64" t="s">
        <v>660</v>
      </c>
      <c r="C409" s="65" t="s">
        <v>1169</v>
      </c>
      <c r="D409" s="65" t="s">
        <v>1154</v>
      </c>
      <c r="E409" s="65" t="s">
        <v>473</v>
      </c>
      <c r="F409" s="65" t="s">
        <v>1615</v>
      </c>
      <c r="G409" s="65" t="s">
        <v>152</v>
      </c>
      <c r="H409" s="65" t="s">
        <v>1181</v>
      </c>
    </row>
    <row r="410" spans="1:8" s="66" customFormat="1" ht="18" customHeight="1" x14ac:dyDescent="0.3">
      <c r="A410" s="63">
        <v>7454</v>
      </c>
      <c r="B410" s="64" t="s">
        <v>454</v>
      </c>
      <c r="C410" s="65" t="s">
        <v>891</v>
      </c>
      <c r="D410" s="65" t="s">
        <v>1220</v>
      </c>
      <c r="E410" s="65" t="s">
        <v>158</v>
      </c>
      <c r="F410" s="65" t="s">
        <v>1616</v>
      </c>
      <c r="G410" s="65" t="s">
        <v>0</v>
      </c>
      <c r="H410" s="65" t="s">
        <v>1239</v>
      </c>
    </row>
    <row r="411" spans="1:8" s="66" customFormat="1" ht="18" customHeight="1" x14ac:dyDescent="0.3">
      <c r="A411" s="63">
        <v>7456</v>
      </c>
      <c r="B411" s="64" t="s">
        <v>455</v>
      </c>
      <c r="C411" s="65" t="s">
        <v>1169</v>
      </c>
      <c r="D411" s="65" t="s">
        <v>1220</v>
      </c>
      <c r="E411" s="65" t="s">
        <v>158</v>
      </c>
      <c r="F411" s="65" t="s">
        <v>1617</v>
      </c>
      <c r="G411" s="65" t="s">
        <v>152</v>
      </c>
      <c r="H411" s="65" t="s">
        <v>1181</v>
      </c>
    </row>
    <row r="412" spans="1:8" s="66" customFormat="1" ht="18" customHeight="1" x14ac:dyDescent="0.3">
      <c r="A412" s="63">
        <v>7465</v>
      </c>
      <c r="B412" s="64" t="s">
        <v>661</v>
      </c>
      <c r="C412" s="65" t="s">
        <v>891</v>
      </c>
      <c r="D412" s="65" t="s">
        <v>1154</v>
      </c>
      <c r="E412" s="65" t="s">
        <v>693</v>
      </c>
      <c r="F412" s="65" t="s">
        <v>1618</v>
      </c>
      <c r="G412" s="65" t="s">
        <v>0</v>
      </c>
      <c r="H412" s="65" t="s">
        <v>1463</v>
      </c>
    </row>
    <row r="413" spans="1:8" s="66" customFormat="1" ht="18" customHeight="1" x14ac:dyDescent="0.3">
      <c r="A413" s="63">
        <v>7478</v>
      </c>
      <c r="B413" s="64" t="s">
        <v>433</v>
      </c>
      <c r="C413" s="65" t="s">
        <v>891</v>
      </c>
      <c r="D413" s="65" t="s">
        <v>1154</v>
      </c>
      <c r="E413" s="65" t="s">
        <v>693</v>
      </c>
      <c r="F413" s="65" t="s">
        <v>1619</v>
      </c>
      <c r="G413" s="65" t="s">
        <v>21</v>
      </c>
      <c r="H413" s="65" t="s">
        <v>1620</v>
      </c>
    </row>
    <row r="414" spans="1:8" s="66" customFormat="1" ht="18" customHeight="1" x14ac:dyDescent="0.3">
      <c r="A414" s="63">
        <v>7479</v>
      </c>
      <c r="B414" s="64" t="s">
        <v>456</v>
      </c>
      <c r="C414" s="65" t="s">
        <v>891</v>
      </c>
      <c r="D414" s="65" t="s">
        <v>1154</v>
      </c>
      <c r="E414" s="65" t="s">
        <v>693</v>
      </c>
      <c r="F414" s="65" t="s">
        <v>1621</v>
      </c>
      <c r="G414" s="65" t="s">
        <v>14</v>
      </c>
      <c r="H414" s="65" t="s">
        <v>1622</v>
      </c>
    </row>
    <row r="415" spans="1:8" s="66" customFormat="1" ht="18" customHeight="1" x14ac:dyDescent="0.3">
      <c r="A415" s="63">
        <v>7485</v>
      </c>
      <c r="B415" s="64" t="s">
        <v>323</v>
      </c>
      <c r="C415" s="65" t="s">
        <v>1169</v>
      </c>
      <c r="D415" s="65" t="s">
        <v>1154</v>
      </c>
      <c r="E415" s="65" t="s">
        <v>693</v>
      </c>
      <c r="F415" s="65" t="s">
        <v>1623</v>
      </c>
      <c r="G415" s="65" t="s">
        <v>152</v>
      </c>
      <c r="H415" s="65" t="s">
        <v>1181</v>
      </c>
    </row>
    <row r="416" spans="1:8" s="66" customFormat="1" ht="18" customHeight="1" x14ac:dyDescent="0.3">
      <c r="A416" s="63">
        <v>7489</v>
      </c>
      <c r="B416" s="64" t="s">
        <v>457</v>
      </c>
      <c r="C416" s="65" t="s">
        <v>891</v>
      </c>
      <c r="D416" s="65" t="s">
        <v>1154</v>
      </c>
      <c r="E416" s="65" t="s">
        <v>693</v>
      </c>
      <c r="F416" s="65" t="s">
        <v>1624</v>
      </c>
      <c r="G416" s="65" t="s">
        <v>157</v>
      </c>
      <c r="H416" s="65" t="s">
        <v>1168</v>
      </c>
    </row>
    <row r="417" spans="1:8" s="66" customFormat="1" ht="18" customHeight="1" x14ac:dyDescent="0.3">
      <c r="A417" s="63">
        <v>7491</v>
      </c>
      <c r="B417" s="64" t="s">
        <v>458</v>
      </c>
      <c r="C417" s="65" t="s">
        <v>1169</v>
      </c>
      <c r="D417" s="65" t="s">
        <v>1154</v>
      </c>
      <c r="E417" s="65" t="s">
        <v>693</v>
      </c>
      <c r="F417" s="65" t="s">
        <v>1625</v>
      </c>
      <c r="G417" s="65" t="s">
        <v>6</v>
      </c>
      <c r="H417" s="65" t="s">
        <v>1626</v>
      </c>
    </row>
    <row r="418" spans="1:8" s="66" customFormat="1" ht="18" customHeight="1" x14ac:dyDescent="0.3">
      <c r="A418" s="63">
        <v>7492</v>
      </c>
      <c r="B418" s="64" t="s">
        <v>459</v>
      </c>
      <c r="C418" s="65" t="s">
        <v>1169</v>
      </c>
      <c r="D418" s="65" t="s">
        <v>1154</v>
      </c>
      <c r="E418" s="65" t="s">
        <v>482</v>
      </c>
      <c r="F418" s="65" t="s">
        <v>1627</v>
      </c>
      <c r="G418" s="65" t="s">
        <v>6</v>
      </c>
      <c r="H418" s="65" t="s">
        <v>1190</v>
      </c>
    </row>
    <row r="419" spans="1:8" s="66" customFormat="1" ht="18" customHeight="1" x14ac:dyDescent="0.3">
      <c r="A419" s="63">
        <v>7498</v>
      </c>
      <c r="B419" s="64" t="s">
        <v>460</v>
      </c>
      <c r="C419" s="65" t="s">
        <v>891</v>
      </c>
      <c r="D419" s="65" t="s">
        <v>1154</v>
      </c>
      <c r="E419" s="65" t="s">
        <v>473</v>
      </c>
      <c r="F419" s="65" t="s">
        <v>1628</v>
      </c>
      <c r="G419" s="65" t="s">
        <v>16</v>
      </c>
      <c r="H419" s="65" t="s">
        <v>1207</v>
      </c>
    </row>
    <row r="420" spans="1:8" s="66" customFormat="1" ht="18" customHeight="1" x14ac:dyDescent="0.3">
      <c r="A420" s="63">
        <v>7500</v>
      </c>
      <c r="B420" s="64" t="s">
        <v>461</v>
      </c>
      <c r="C420" s="65" t="s">
        <v>891</v>
      </c>
      <c r="D420" s="65" t="s">
        <v>1154</v>
      </c>
      <c r="E420" s="65" t="s">
        <v>473</v>
      </c>
      <c r="F420" s="65" t="s">
        <v>1629</v>
      </c>
      <c r="G420" s="65" t="s">
        <v>0</v>
      </c>
      <c r="H420" s="65" t="s">
        <v>1183</v>
      </c>
    </row>
    <row r="421" spans="1:8" s="66" customFormat="1" ht="18" customHeight="1" x14ac:dyDescent="0.3">
      <c r="A421" s="63">
        <v>7501</v>
      </c>
      <c r="B421" s="64" t="s">
        <v>462</v>
      </c>
      <c r="C421" s="65" t="s">
        <v>891</v>
      </c>
      <c r="D421" s="65" t="s">
        <v>1154</v>
      </c>
      <c r="E421" s="65" t="s">
        <v>693</v>
      </c>
      <c r="F421" s="65" t="s">
        <v>1630</v>
      </c>
      <c r="G421" s="65" t="s">
        <v>16</v>
      </c>
      <c r="H421" s="65" t="s">
        <v>1631</v>
      </c>
    </row>
    <row r="422" spans="1:8" s="66" customFormat="1" ht="18" customHeight="1" x14ac:dyDescent="0.3">
      <c r="A422" s="63">
        <v>7528</v>
      </c>
      <c r="B422" s="64" t="s">
        <v>463</v>
      </c>
      <c r="C422" s="65" t="s">
        <v>891</v>
      </c>
      <c r="D422" s="65" t="s">
        <v>1154</v>
      </c>
      <c r="E422" s="65" t="s">
        <v>693</v>
      </c>
      <c r="F422" s="65" t="s">
        <v>1632</v>
      </c>
      <c r="G422" s="65" t="s">
        <v>8</v>
      </c>
      <c r="H422" s="65" t="s">
        <v>1633</v>
      </c>
    </row>
    <row r="423" spans="1:8" s="66" customFormat="1" ht="18" customHeight="1" x14ac:dyDescent="0.3">
      <c r="A423" s="63">
        <v>7529</v>
      </c>
      <c r="B423" s="64" t="s">
        <v>464</v>
      </c>
      <c r="C423" s="65" t="s">
        <v>891</v>
      </c>
      <c r="D423" s="65" t="s">
        <v>1154</v>
      </c>
      <c r="E423" s="65" t="s">
        <v>693</v>
      </c>
      <c r="F423" s="65" t="s">
        <v>1634</v>
      </c>
      <c r="G423" s="65" t="s">
        <v>8</v>
      </c>
      <c r="H423" s="65" t="s">
        <v>1635</v>
      </c>
    </row>
    <row r="424" spans="1:8" s="66" customFormat="1" ht="18" customHeight="1" x14ac:dyDescent="0.3">
      <c r="A424" s="63">
        <v>7562</v>
      </c>
      <c r="B424" s="64" t="s">
        <v>465</v>
      </c>
      <c r="C424" s="65" t="s">
        <v>891</v>
      </c>
      <c r="D424" s="65" t="s">
        <v>1154</v>
      </c>
      <c r="E424" s="65" t="s">
        <v>693</v>
      </c>
      <c r="F424" s="65" t="s">
        <v>1636</v>
      </c>
      <c r="G424" s="65" t="s">
        <v>0</v>
      </c>
      <c r="H424" s="65" t="s">
        <v>1637</v>
      </c>
    </row>
    <row r="425" spans="1:8" s="66" customFormat="1" ht="18" customHeight="1" x14ac:dyDescent="0.3">
      <c r="A425" s="63">
        <v>7598</v>
      </c>
      <c r="B425" s="64" t="s">
        <v>466</v>
      </c>
      <c r="C425" s="65" t="s">
        <v>891</v>
      </c>
      <c r="D425" s="65" t="s">
        <v>1154</v>
      </c>
      <c r="E425" s="65" t="s">
        <v>693</v>
      </c>
      <c r="F425" s="65" t="s">
        <v>1638</v>
      </c>
      <c r="G425" s="65" t="s">
        <v>157</v>
      </c>
      <c r="H425" s="65" t="s">
        <v>1639</v>
      </c>
    </row>
    <row r="426" spans="1:8" s="66" customFormat="1" ht="18" customHeight="1" x14ac:dyDescent="0.3">
      <c r="A426" s="63">
        <v>7599</v>
      </c>
      <c r="B426" s="64" t="s">
        <v>467</v>
      </c>
      <c r="C426" s="65" t="s">
        <v>891</v>
      </c>
      <c r="D426" s="65" t="s">
        <v>1154</v>
      </c>
      <c r="E426" s="65" t="s">
        <v>693</v>
      </c>
      <c r="F426" s="65" t="s">
        <v>1640</v>
      </c>
      <c r="G426" s="65" t="s">
        <v>5</v>
      </c>
      <c r="H426" s="65" t="s">
        <v>1641</v>
      </c>
    </row>
    <row r="427" spans="1:8" s="66" customFormat="1" ht="18" customHeight="1" x14ac:dyDescent="0.3">
      <c r="A427" s="63">
        <v>7601</v>
      </c>
      <c r="B427" s="64" t="s">
        <v>468</v>
      </c>
      <c r="C427" s="65" t="s">
        <v>891</v>
      </c>
      <c r="D427" s="65" t="s">
        <v>1154</v>
      </c>
      <c r="E427" s="65" t="s">
        <v>693</v>
      </c>
      <c r="F427" s="65" t="s">
        <v>1642</v>
      </c>
      <c r="G427" s="65" t="s">
        <v>7</v>
      </c>
      <c r="H427" s="65" t="s">
        <v>1168</v>
      </c>
    </row>
    <row r="428" spans="1:8" s="66" customFormat="1" ht="18" customHeight="1" x14ac:dyDescent="0.3">
      <c r="A428" s="63">
        <v>7620</v>
      </c>
      <c r="B428" s="64" t="s">
        <v>469</v>
      </c>
      <c r="C428" s="65" t="s">
        <v>891</v>
      </c>
      <c r="D428" s="65" t="s">
        <v>1154</v>
      </c>
      <c r="E428" s="65" t="s">
        <v>693</v>
      </c>
      <c r="F428" s="65" t="s">
        <v>1643</v>
      </c>
      <c r="G428" s="65" t="s">
        <v>16</v>
      </c>
      <c r="H428" s="65" t="s">
        <v>1357</v>
      </c>
    </row>
    <row r="429" spans="1:8" s="66" customFormat="1" ht="18" customHeight="1" x14ac:dyDescent="0.3">
      <c r="A429" s="63">
        <v>7621</v>
      </c>
      <c r="B429" s="64" t="s">
        <v>470</v>
      </c>
      <c r="C429" s="65" t="s">
        <v>891</v>
      </c>
      <c r="D429" s="65" t="s">
        <v>1154</v>
      </c>
      <c r="E429" s="65" t="s">
        <v>482</v>
      </c>
      <c r="F429" s="65" t="s">
        <v>1644</v>
      </c>
      <c r="G429" s="65" t="s">
        <v>15</v>
      </c>
      <c r="H429" s="65" t="s">
        <v>1168</v>
      </c>
    </row>
    <row r="430" spans="1:8" s="66" customFormat="1" ht="18" customHeight="1" x14ac:dyDescent="0.3">
      <c r="A430" s="63">
        <v>7622</v>
      </c>
      <c r="B430" s="64" t="s">
        <v>665</v>
      </c>
      <c r="C430" s="65" t="s">
        <v>1169</v>
      </c>
      <c r="D430" s="65" t="s">
        <v>1154</v>
      </c>
      <c r="E430" s="65" t="s">
        <v>1</v>
      </c>
      <c r="F430" s="65" t="s">
        <v>1645</v>
      </c>
      <c r="G430" s="65" t="s">
        <v>152</v>
      </c>
      <c r="H430" s="65" t="s">
        <v>1181</v>
      </c>
    </row>
    <row r="431" spans="1:8" s="66" customFormat="1" ht="18" customHeight="1" x14ac:dyDescent="0.3">
      <c r="A431" s="63">
        <v>7623</v>
      </c>
      <c r="B431" s="64" t="s">
        <v>666</v>
      </c>
      <c r="C431" s="65" t="s">
        <v>891</v>
      </c>
      <c r="D431" s="65" t="s">
        <v>1154</v>
      </c>
      <c r="E431" s="65" t="s">
        <v>1</v>
      </c>
      <c r="F431" s="65" t="s">
        <v>1646</v>
      </c>
      <c r="G431" s="65" t="s">
        <v>5</v>
      </c>
      <c r="H431" s="65" t="s">
        <v>1168</v>
      </c>
    </row>
    <row r="432" spans="1:8" s="66" customFormat="1" ht="18" customHeight="1" x14ac:dyDescent="0.3">
      <c r="A432" s="63">
        <v>7636</v>
      </c>
      <c r="B432" s="64" t="s">
        <v>667</v>
      </c>
      <c r="C432" s="65" t="s">
        <v>891</v>
      </c>
      <c r="D432" s="65" t="s">
        <v>1220</v>
      </c>
      <c r="E432" s="65" t="s">
        <v>158</v>
      </c>
      <c r="F432" s="65" t="s">
        <v>1647</v>
      </c>
      <c r="G432" s="65" t="s">
        <v>7</v>
      </c>
      <c r="H432" s="65" t="s">
        <v>1168</v>
      </c>
    </row>
    <row r="433" spans="1:8" s="66" customFormat="1" ht="18" customHeight="1" x14ac:dyDescent="0.3">
      <c r="A433" s="63">
        <v>7637</v>
      </c>
      <c r="B433" s="64" t="s">
        <v>471</v>
      </c>
      <c r="C433" s="65" t="s">
        <v>891</v>
      </c>
      <c r="D433" s="65" t="s">
        <v>1220</v>
      </c>
      <c r="E433" s="65" t="s">
        <v>158</v>
      </c>
      <c r="F433" s="65" t="s">
        <v>1648</v>
      </c>
      <c r="G433" s="65" t="s">
        <v>16</v>
      </c>
      <c r="H433" s="65" t="s">
        <v>1565</v>
      </c>
    </row>
    <row r="434" spans="1:8" s="66" customFormat="1" ht="18" customHeight="1" x14ac:dyDescent="0.3">
      <c r="A434" s="67">
        <v>7668</v>
      </c>
      <c r="B434" s="68" t="s">
        <v>2071</v>
      </c>
      <c r="C434" s="69" t="s">
        <v>891</v>
      </c>
      <c r="D434" s="67" t="s">
        <v>1220</v>
      </c>
      <c r="E434" s="67" t="s">
        <v>158</v>
      </c>
      <c r="F434" s="67" t="s">
        <v>2098</v>
      </c>
      <c r="G434" s="67" t="s">
        <v>2108</v>
      </c>
      <c r="H434" s="65" t="s">
        <v>1168</v>
      </c>
    </row>
    <row r="435" spans="1:8" s="66" customFormat="1" ht="18" customHeight="1" x14ac:dyDescent="0.3">
      <c r="A435" s="67">
        <v>7668</v>
      </c>
      <c r="B435" s="68" t="s">
        <v>2071</v>
      </c>
      <c r="C435" s="67" t="s">
        <v>891</v>
      </c>
      <c r="D435" s="67" t="s">
        <v>1220</v>
      </c>
      <c r="E435" s="67" t="s">
        <v>158</v>
      </c>
      <c r="F435" s="67" t="s">
        <v>2098</v>
      </c>
      <c r="G435" s="67" t="s">
        <v>2108</v>
      </c>
      <c r="H435" s="65" t="s">
        <v>1168</v>
      </c>
    </row>
    <row r="436" spans="1:8" s="66" customFormat="1" ht="18" customHeight="1" x14ac:dyDescent="0.3">
      <c r="A436" s="63">
        <v>7684</v>
      </c>
      <c r="B436" s="64" t="s">
        <v>736</v>
      </c>
      <c r="C436" s="65" t="s">
        <v>891</v>
      </c>
      <c r="D436" s="65" t="s">
        <v>1154</v>
      </c>
      <c r="E436" s="65" t="s">
        <v>482</v>
      </c>
      <c r="F436" s="65" t="s">
        <v>1649</v>
      </c>
      <c r="G436" s="65" t="s">
        <v>3</v>
      </c>
      <c r="H436" s="65" t="s">
        <v>1164</v>
      </c>
    </row>
    <row r="437" spans="1:8" s="66" customFormat="1" ht="18" customHeight="1" x14ac:dyDescent="0.3">
      <c r="A437" s="63">
        <v>7687</v>
      </c>
      <c r="B437" s="64" t="s">
        <v>668</v>
      </c>
      <c r="C437" s="65" t="s">
        <v>1169</v>
      </c>
      <c r="D437" s="65" t="s">
        <v>1154</v>
      </c>
      <c r="E437" s="65" t="s">
        <v>693</v>
      </c>
      <c r="F437" s="65" t="s">
        <v>1650</v>
      </c>
      <c r="G437" s="65" t="s">
        <v>6</v>
      </c>
      <c r="H437" s="65" t="s">
        <v>1651</v>
      </c>
    </row>
    <row r="438" spans="1:8" s="66" customFormat="1" ht="18" customHeight="1" x14ac:dyDescent="0.3">
      <c r="A438" s="63">
        <v>7691</v>
      </c>
      <c r="B438" s="64" t="s">
        <v>669</v>
      </c>
      <c r="C438" s="65" t="s">
        <v>1169</v>
      </c>
      <c r="D438" s="65" t="s">
        <v>1220</v>
      </c>
      <c r="E438" s="65" t="s">
        <v>158</v>
      </c>
      <c r="F438" s="65" t="s">
        <v>1652</v>
      </c>
      <c r="G438" s="65" t="s">
        <v>152</v>
      </c>
      <c r="H438" s="65" t="s">
        <v>1297</v>
      </c>
    </row>
    <row r="439" spans="1:8" s="66" customFormat="1" ht="18" customHeight="1" x14ac:dyDescent="0.3">
      <c r="A439" s="63">
        <v>7693</v>
      </c>
      <c r="B439" s="64" t="s">
        <v>670</v>
      </c>
      <c r="C439" s="65" t="s">
        <v>891</v>
      </c>
      <c r="D439" s="65" t="s">
        <v>1220</v>
      </c>
      <c r="E439" s="65" t="s">
        <v>158</v>
      </c>
      <c r="F439" s="65" t="s">
        <v>1653</v>
      </c>
      <c r="G439" s="65" t="s">
        <v>11</v>
      </c>
      <c r="H439" s="65" t="s">
        <v>1497</v>
      </c>
    </row>
    <row r="440" spans="1:8" s="66" customFormat="1" ht="18" customHeight="1" x14ac:dyDescent="0.3">
      <c r="A440" s="63">
        <v>7697</v>
      </c>
      <c r="B440" s="64" t="s">
        <v>671</v>
      </c>
      <c r="C440" s="65" t="s">
        <v>891</v>
      </c>
      <c r="D440" s="65" t="s">
        <v>1154</v>
      </c>
      <c r="E440" s="65" t="s">
        <v>693</v>
      </c>
      <c r="F440" s="65" t="s">
        <v>1654</v>
      </c>
      <c r="G440" s="65" t="s">
        <v>0</v>
      </c>
      <c r="H440" s="65" t="s">
        <v>1655</v>
      </c>
    </row>
    <row r="441" spans="1:8" s="66" customFormat="1" ht="18" customHeight="1" x14ac:dyDescent="0.3">
      <c r="A441" s="63">
        <v>7698</v>
      </c>
      <c r="B441" s="64" t="s">
        <v>672</v>
      </c>
      <c r="C441" s="65" t="s">
        <v>1169</v>
      </c>
      <c r="D441" s="65" t="s">
        <v>1154</v>
      </c>
      <c r="E441" s="65" t="s">
        <v>482</v>
      </c>
      <c r="F441" s="65" t="s">
        <v>1656</v>
      </c>
      <c r="G441" s="65" t="s">
        <v>6</v>
      </c>
      <c r="H441" s="65" t="s">
        <v>1657</v>
      </c>
    </row>
    <row r="442" spans="1:8" s="66" customFormat="1" ht="18" customHeight="1" x14ac:dyDescent="0.3">
      <c r="A442" s="63">
        <v>7699</v>
      </c>
      <c r="B442" s="64" t="s">
        <v>673</v>
      </c>
      <c r="C442" s="65" t="s">
        <v>891</v>
      </c>
      <c r="D442" s="65" t="s">
        <v>1154</v>
      </c>
      <c r="E442" s="65" t="s">
        <v>1</v>
      </c>
      <c r="F442" s="65" t="s">
        <v>1658</v>
      </c>
      <c r="G442" s="65" t="s">
        <v>13</v>
      </c>
      <c r="H442" s="65" t="s">
        <v>1168</v>
      </c>
    </row>
    <row r="443" spans="1:8" s="66" customFormat="1" ht="18" customHeight="1" x14ac:dyDescent="0.3">
      <c r="A443" s="63">
        <v>7725</v>
      </c>
      <c r="B443" s="64" t="s">
        <v>675</v>
      </c>
      <c r="C443" s="65" t="s">
        <v>891</v>
      </c>
      <c r="D443" s="65" t="s">
        <v>1220</v>
      </c>
      <c r="E443" s="65" t="s">
        <v>158</v>
      </c>
      <c r="F443" s="65" t="s">
        <v>1659</v>
      </c>
      <c r="G443" s="65" t="s">
        <v>3</v>
      </c>
      <c r="H443" s="65" t="s">
        <v>1403</v>
      </c>
    </row>
    <row r="444" spans="1:8" s="66" customFormat="1" ht="18" customHeight="1" x14ac:dyDescent="0.3">
      <c r="A444" s="63">
        <v>7731</v>
      </c>
      <c r="B444" s="64" t="s">
        <v>676</v>
      </c>
      <c r="C444" s="65" t="s">
        <v>891</v>
      </c>
      <c r="D444" s="65" t="s">
        <v>1220</v>
      </c>
      <c r="E444" s="65" t="s">
        <v>158</v>
      </c>
      <c r="F444" s="65" t="s">
        <v>1660</v>
      </c>
      <c r="G444" s="65" t="s">
        <v>3</v>
      </c>
      <c r="H444" s="65" t="s">
        <v>1403</v>
      </c>
    </row>
    <row r="445" spans="1:8" s="66" customFormat="1" ht="18" customHeight="1" x14ac:dyDescent="0.3">
      <c r="A445" s="63">
        <v>7735</v>
      </c>
      <c r="B445" s="64" t="s">
        <v>677</v>
      </c>
      <c r="C445" s="65" t="s">
        <v>891</v>
      </c>
      <c r="D445" s="65" t="s">
        <v>1154</v>
      </c>
      <c r="E445" s="65" t="s">
        <v>482</v>
      </c>
      <c r="F445" s="65" t="s">
        <v>1661</v>
      </c>
      <c r="G445" s="65" t="s">
        <v>0</v>
      </c>
      <c r="H445" s="65" t="s">
        <v>1156</v>
      </c>
    </row>
    <row r="446" spans="1:8" s="66" customFormat="1" ht="18" customHeight="1" x14ac:dyDescent="0.3">
      <c r="A446" s="63">
        <v>7737</v>
      </c>
      <c r="B446" s="64" t="s">
        <v>678</v>
      </c>
      <c r="C446" s="65" t="s">
        <v>891</v>
      </c>
      <c r="D446" s="65" t="s">
        <v>1154</v>
      </c>
      <c r="E446" s="65" t="s">
        <v>693</v>
      </c>
      <c r="F446" s="65" t="s">
        <v>1662</v>
      </c>
      <c r="G446" s="65" t="s">
        <v>16</v>
      </c>
      <c r="H446" s="65" t="s">
        <v>1663</v>
      </c>
    </row>
    <row r="447" spans="1:8" s="66" customFormat="1" ht="18" customHeight="1" x14ac:dyDescent="0.3">
      <c r="A447" s="63">
        <v>7747</v>
      </c>
      <c r="B447" s="64" t="s">
        <v>679</v>
      </c>
      <c r="C447" s="65" t="s">
        <v>891</v>
      </c>
      <c r="D447" s="65" t="s">
        <v>1154</v>
      </c>
      <c r="E447" s="65" t="s">
        <v>482</v>
      </c>
      <c r="F447" s="65" t="s">
        <v>1664</v>
      </c>
      <c r="G447" s="65" t="s">
        <v>3</v>
      </c>
      <c r="H447" s="65" t="s">
        <v>1403</v>
      </c>
    </row>
    <row r="448" spans="1:8" s="66" customFormat="1" ht="18" customHeight="1" x14ac:dyDescent="0.3">
      <c r="A448" s="63">
        <v>7749</v>
      </c>
      <c r="B448" s="64" t="s">
        <v>680</v>
      </c>
      <c r="C448" s="65" t="s">
        <v>891</v>
      </c>
      <c r="D448" s="65" t="s">
        <v>1154</v>
      </c>
      <c r="E448" s="65" t="s">
        <v>693</v>
      </c>
      <c r="F448" s="65" t="s">
        <v>1665</v>
      </c>
      <c r="G448" s="65" t="s">
        <v>0</v>
      </c>
      <c r="H448" s="65" t="s">
        <v>1239</v>
      </c>
    </row>
    <row r="449" spans="1:8" s="66" customFormat="1" ht="18" customHeight="1" x14ac:dyDescent="0.3">
      <c r="A449" s="63">
        <v>7752</v>
      </c>
      <c r="B449" s="64" t="s">
        <v>681</v>
      </c>
      <c r="C449" s="65" t="s">
        <v>891</v>
      </c>
      <c r="D449" s="65" t="s">
        <v>1154</v>
      </c>
      <c r="E449" s="65" t="s">
        <v>693</v>
      </c>
      <c r="F449" s="65" t="s">
        <v>1666</v>
      </c>
      <c r="G449" s="65" t="s">
        <v>0</v>
      </c>
      <c r="H449" s="65" t="s">
        <v>1667</v>
      </c>
    </row>
    <row r="450" spans="1:8" s="66" customFormat="1" ht="18" customHeight="1" x14ac:dyDescent="0.3">
      <c r="A450" s="63">
        <v>7753</v>
      </c>
      <c r="B450" s="64" t="s">
        <v>682</v>
      </c>
      <c r="C450" s="65" t="s">
        <v>1169</v>
      </c>
      <c r="D450" s="65" t="s">
        <v>1220</v>
      </c>
      <c r="E450" s="65" t="s">
        <v>158</v>
      </c>
      <c r="F450" s="65" t="s">
        <v>1668</v>
      </c>
      <c r="G450" s="65" t="s">
        <v>152</v>
      </c>
      <c r="H450" s="65" t="s">
        <v>1669</v>
      </c>
    </row>
    <row r="451" spans="1:8" s="66" customFormat="1" ht="18" customHeight="1" x14ac:dyDescent="0.3">
      <c r="A451" s="63">
        <v>7755</v>
      </c>
      <c r="B451" s="64" t="s">
        <v>683</v>
      </c>
      <c r="C451" s="65" t="s">
        <v>1169</v>
      </c>
      <c r="D451" s="65" t="s">
        <v>1154</v>
      </c>
      <c r="E451" s="65" t="s">
        <v>482</v>
      </c>
      <c r="F451" s="65" t="s">
        <v>1670</v>
      </c>
      <c r="G451" s="65" t="s">
        <v>6</v>
      </c>
      <c r="H451" s="65" t="s">
        <v>1190</v>
      </c>
    </row>
    <row r="452" spans="1:8" s="66" customFormat="1" ht="18" customHeight="1" x14ac:dyDescent="0.3">
      <c r="A452" s="67">
        <v>7757</v>
      </c>
      <c r="B452" s="68" t="s">
        <v>2072</v>
      </c>
      <c r="C452" s="69" t="s">
        <v>891</v>
      </c>
      <c r="D452" s="67" t="s">
        <v>1154</v>
      </c>
      <c r="E452" s="67" t="s">
        <v>693</v>
      </c>
      <c r="F452" s="67" t="s">
        <v>2099</v>
      </c>
      <c r="G452" s="67" t="s">
        <v>2108</v>
      </c>
      <c r="H452" s="65" t="s">
        <v>2111</v>
      </c>
    </row>
    <row r="453" spans="1:8" s="66" customFormat="1" ht="18" customHeight="1" x14ac:dyDescent="0.3">
      <c r="A453" s="67">
        <v>7757</v>
      </c>
      <c r="B453" s="68" t="s">
        <v>2072</v>
      </c>
      <c r="C453" s="67" t="s">
        <v>891</v>
      </c>
      <c r="D453" s="67" t="s">
        <v>1154</v>
      </c>
      <c r="E453" s="67" t="s">
        <v>693</v>
      </c>
      <c r="F453" s="67" t="s">
        <v>2099</v>
      </c>
      <c r="G453" s="67" t="s">
        <v>2108</v>
      </c>
      <c r="H453" s="65" t="s">
        <v>2111</v>
      </c>
    </row>
    <row r="454" spans="1:8" s="66" customFormat="1" ht="18" customHeight="1" x14ac:dyDescent="0.3">
      <c r="A454" s="63">
        <v>7760</v>
      </c>
      <c r="B454" s="64" t="s">
        <v>684</v>
      </c>
      <c r="C454" s="65" t="s">
        <v>1169</v>
      </c>
      <c r="D454" s="65" t="s">
        <v>1154</v>
      </c>
      <c r="E454" s="65" t="s">
        <v>1</v>
      </c>
      <c r="F454" s="65" t="s">
        <v>1671</v>
      </c>
      <c r="G454" s="65" t="s">
        <v>152</v>
      </c>
      <c r="H454" s="65" t="s">
        <v>1277</v>
      </c>
    </row>
    <row r="455" spans="1:8" s="66" customFormat="1" ht="18" customHeight="1" x14ac:dyDescent="0.3">
      <c r="A455" s="63">
        <v>7774</v>
      </c>
      <c r="B455" s="64" t="s">
        <v>685</v>
      </c>
      <c r="C455" s="65" t="s">
        <v>891</v>
      </c>
      <c r="D455" s="65" t="s">
        <v>1154</v>
      </c>
      <c r="E455" s="65" t="s">
        <v>693</v>
      </c>
      <c r="F455" s="65" t="s">
        <v>1672</v>
      </c>
      <c r="G455" s="65" t="s">
        <v>0</v>
      </c>
      <c r="H455" s="65" t="s">
        <v>1305</v>
      </c>
    </row>
    <row r="456" spans="1:8" s="66" customFormat="1" ht="18" customHeight="1" x14ac:dyDescent="0.3">
      <c r="A456" s="63">
        <v>7795</v>
      </c>
      <c r="B456" s="64" t="s">
        <v>686</v>
      </c>
      <c r="C456" s="65" t="s">
        <v>1169</v>
      </c>
      <c r="D456" s="65" t="s">
        <v>1154</v>
      </c>
      <c r="E456" s="65" t="s">
        <v>482</v>
      </c>
      <c r="F456" s="65" t="s">
        <v>1673</v>
      </c>
      <c r="G456" s="65" t="s">
        <v>153</v>
      </c>
      <c r="H456" s="65" t="s">
        <v>1179</v>
      </c>
    </row>
    <row r="457" spans="1:8" s="66" customFormat="1" ht="18" customHeight="1" x14ac:dyDescent="0.3">
      <c r="A457" s="63">
        <v>7796</v>
      </c>
      <c r="B457" s="64" t="s">
        <v>737</v>
      </c>
      <c r="C457" s="65" t="s">
        <v>891</v>
      </c>
      <c r="D457" s="65" t="s">
        <v>1154</v>
      </c>
      <c r="E457" s="65" t="s">
        <v>693</v>
      </c>
      <c r="F457" s="65" t="s">
        <v>1674</v>
      </c>
      <c r="G457" s="65" t="s">
        <v>157</v>
      </c>
      <c r="H457" s="65" t="s">
        <v>1675</v>
      </c>
    </row>
    <row r="458" spans="1:8" s="66" customFormat="1" ht="18" customHeight="1" x14ac:dyDescent="0.3">
      <c r="A458" s="63">
        <v>7799</v>
      </c>
      <c r="B458" s="64" t="s">
        <v>687</v>
      </c>
      <c r="C458" s="65" t="s">
        <v>1169</v>
      </c>
      <c r="D458" s="65" t="s">
        <v>1154</v>
      </c>
      <c r="E458" s="65" t="s">
        <v>482</v>
      </c>
      <c r="F458" s="65" t="s">
        <v>1676</v>
      </c>
      <c r="G458" s="65" t="s">
        <v>6</v>
      </c>
      <c r="H458" s="65" t="s">
        <v>1262</v>
      </c>
    </row>
    <row r="459" spans="1:8" s="66" customFormat="1" ht="18" customHeight="1" x14ac:dyDescent="0.3">
      <c r="A459" s="63">
        <v>7800</v>
      </c>
      <c r="B459" s="64" t="s">
        <v>688</v>
      </c>
      <c r="C459" s="65" t="s">
        <v>1169</v>
      </c>
      <c r="D459" s="65" t="s">
        <v>1154</v>
      </c>
      <c r="E459" s="65" t="s">
        <v>482</v>
      </c>
      <c r="F459" s="65" t="s">
        <v>1677</v>
      </c>
      <c r="G459" s="65" t="s">
        <v>6</v>
      </c>
      <c r="H459" s="65" t="s">
        <v>1678</v>
      </c>
    </row>
    <row r="460" spans="1:8" s="66" customFormat="1" ht="18" customHeight="1" x14ac:dyDescent="0.3">
      <c r="A460" s="63">
        <v>7804</v>
      </c>
      <c r="B460" s="64" t="s">
        <v>689</v>
      </c>
      <c r="C460" s="65" t="s">
        <v>891</v>
      </c>
      <c r="D460" s="65" t="s">
        <v>1220</v>
      </c>
      <c r="E460" s="65" t="s">
        <v>158</v>
      </c>
      <c r="F460" s="65" t="s">
        <v>1679</v>
      </c>
      <c r="G460" s="65" t="s">
        <v>0</v>
      </c>
      <c r="H460" s="65" t="s">
        <v>1604</v>
      </c>
    </row>
    <row r="461" spans="1:8" s="66" customFormat="1" ht="18" customHeight="1" x14ac:dyDescent="0.3">
      <c r="A461" s="63">
        <v>7805</v>
      </c>
      <c r="B461" s="64" t="s">
        <v>738</v>
      </c>
      <c r="C461" s="65" t="s">
        <v>891</v>
      </c>
      <c r="D461" s="65" t="s">
        <v>1154</v>
      </c>
      <c r="E461" s="65" t="s">
        <v>693</v>
      </c>
      <c r="F461" s="65" t="s">
        <v>1680</v>
      </c>
      <c r="G461" s="65" t="s">
        <v>15</v>
      </c>
      <c r="H461" s="65" t="s">
        <v>1681</v>
      </c>
    </row>
    <row r="462" spans="1:8" s="66" customFormat="1" ht="18" customHeight="1" x14ac:dyDescent="0.3">
      <c r="A462" s="63">
        <v>7810</v>
      </c>
      <c r="B462" s="64" t="s">
        <v>690</v>
      </c>
      <c r="C462" s="65" t="s">
        <v>891</v>
      </c>
      <c r="D462" s="65" t="s">
        <v>1220</v>
      </c>
      <c r="E462" s="65" t="s">
        <v>158</v>
      </c>
      <c r="F462" s="65" t="s">
        <v>1682</v>
      </c>
      <c r="G462" s="65" t="s">
        <v>0</v>
      </c>
      <c r="H462" s="65" t="s">
        <v>1465</v>
      </c>
    </row>
    <row r="463" spans="1:8" s="66" customFormat="1" ht="18" customHeight="1" x14ac:dyDescent="0.3">
      <c r="A463" s="67">
        <v>7814</v>
      </c>
      <c r="B463" s="68" t="s">
        <v>2073</v>
      </c>
      <c r="C463" s="69" t="s">
        <v>891</v>
      </c>
      <c r="D463" s="67" t="s">
        <v>1220</v>
      </c>
      <c r="E463" s="67" t="s">
        <v>158</v>
      </c>
      <c r="F463" s="67" t="s">
        <v>2100</v>
      </c>
      <c r="G463" s="67" t="s">
        <v>2108</v>
      </c>
      <c r="H463" s="65" t="s">
        <v>1168</v>
      </c>
    </row>
    <row r="464" spans="1:8" s="66" customFormat="1" ht="18" customHeight="1" x14ac:dyDescent="0.3">
      <c r="A464" s="67">
        <v>7814</v>
      </c>
      <c r="B464" s="68" t="s">
        <v>2073</v>
      </c>
      <c r="C464" s="67" t="s">
        <v>891</v>
      </c>
      <c r="D464" s="67" t="s">
        <v>1220</v>
      </c>
      <c r="E464" s="67" t="s">
        <v>158</v>
      </c>
      <c r="F464" s="67" t="s">
        <v>2100</v>
      </c>
      <c r="G464" s="67" t="s">
        <v>2108</v>
      </c>
      <c r="H464" s="65" t="s">
        <v>1168</v>
      </c>
    </row>
    <row r="465" spans="1:8" s="66" customFormat="1" ht="18" customHeight="1" x14ac:dyDescent="0.3">
      <c r="A465" s="63">
        <v>7816</v>
      </c>
      <c r="B465" s="64" t="s">
        <v>739</v>
      </c>
      <c r="C465" s="65" t="s">
        <v>891</v>
      </c>
      <c r="D465" s="65" t="s">
        <v>1220</v>
      </c>
      <c r="E465" s="65" t="s">
        <v>158</v>
      </c>
      <c r="F465" s="65" t="s">
        <v>1683</v>
      </c>
      <c r="G465" s="65" t="s">
        <v>17</v>
      </c>
      <c r="H465" s="65" t="s">
        <v>1212</v>
      </c>
    </row>
    <row r="466" spans="1:8" s="66" customFormat="1" ht="18" customHeight="1" x14ac:dyDescent="0.3">
      <c r="A466" s="63">
        <v>7831</v>
      </c>
      <c r="B466" s="64" t="s">
        <v>691</v>
      </c>
      <c r="C466" s="65" t="s">
        <v>891</v>
      </c>
      <c r="D466" s="65" t="s">
        <v>1220</v>
      </c>
      <c r="E466" s="65" t="s">
        <v>158</v>
      </c>
      <c r="F466" s="65" t="s">
        <v>1684</v>
      </c>
      <c r="G466" s="65" t="s">
        <v>12</v>
      </c>
      <c r="H466" s="65" t="s">
        <v>1685</v>
      </c>
    </row>
    <row r="467" spans="1:8" s="66" customFormat="1" ht="18" customHeight="1" x14ac:dyDescent="0.3">
      <c r="A467" s="63">
        <v>7832</v>
      </c>
      <c r="B467" s="64" t="s">
        <v>692</v>
      </c>
      <c r="C467" s="65" t="s">
        <v>891</v>
      </c>
      <c r="D467" s="65" t="s">
        <v>1154</v>
      </c>
      <c r="E467" s="65" t="s">
        <v>693</v>
      </c>
      <c r="F467" s="65" t="s">
        <v>1686</v>
      </c>
      <c r="G467" s="65" t="s">
        <v>0</v>
      </c>
      <c r="H467" s="65" t="s">
        <v>1239</v>
      </c>
    </row>
    <row r="468" spans="1:8" s="66" customFormat="1" ht="18" customHeight="1" x14ac:dyDescent="0.3">
      <c r="A468" s="63">
        <v>7833</v>
      </c>
      <c r="B468" s="64" t="s">
        <v>694</v>
      </c>
      <c r="C468" s="65" t="s">
        <v>891</v>
      </c>
      <c r="D468" s="65" t="s">
        <v>1154</v>
      </c>
      <c r="E468" s="65" t="s">
        <v>693</v>
      </c>
      <c r="F468" s="65" t="s">
        <v>1687</v>
      </c>
      <c r="G468" s="65" t="s">
        <v>11</v>
      </c>
      <c r="H468" s="65" t="s">
        <v>1497</v>
      </c>
    </row>
    <row r="469" spans="1:8" s="66" customFormat="1" ht="18" customHeight="1" x14ac:dyDescent="0.3">
      <c r="A469" s="63">
        <v>7834</v>
      </c>
      <c r="B469" s="64" t="s">
        <v>1688</v>
      </c>
      <c r="C469" s="65" t="s">
        <v>1344</v>
      </c>
      <c r="D469" s="65" t="s">
        <v>1220</v>
      </c>
      <c r="E469" s="65" t="s">
        <v>158</v>
      </c>
      <c r="F469" s="65" t="s">
        <v>1689</v>
      </c>
      <c r="G469" s="65" t="s">
        <v>1346</v>
      </c>
      <c r="H469" s="65" t="s">
        <v>1168</v>
      </c>
    </row>
    <row r="470" spans="1:8" s="66" customFormat="1" ht="18" customHeight="1" x14ac:dyDescent="0.3">
      <c r="A470" s="63">
        <v>7845</v>
      </c>
      <c r="B470" s="64" t="s">
        <v>695</v>
      </c>
      <c r="C470" s="65" t="s">
        <v>891</v>
      </c>
      <c r="D470" s="65" t="s">
        <v>1154</v>
      </c>
      <c r="E470" s="65" t="s">
        <v>1</v>
      </c>
      <c r="F470" s="65" t="s">
        <v>1690</v>
      </c>
      <c r="G470" s="65" t="s">
        <v>0</v>
      </c>
      <c r="H470" s="65" t="s">
        <v>1604</v>
      </c>
    </row>
    <row r="471" spans="1:8" s="66" customFormat="1" ht="18" customHeight="1" x14ac:dyDescent="0.3">
      <c r="A471" s="63">
        <v>7846</v>
      </c>
      <c r="B471" s="64" t="s">
        <v>696</v>
      </c>
      <c r="C471" s="65" t="s">
        <v>891</v>
      </c>
      <c r="D471" s="65" t="s">
        <v>1220</v>
      </c>
      <c r="E471" s="65" t="s">
        <v>158</v>
      </c>
      <c r="F471" s="65" t="s">
        <v>1691</v>
      </c>
      <c r="G471" s="65" t="s">
        <v>12</v>
      </c>
      <c r="H471" s="65" t="s">
        <v>1168</v>
      </c>
    </row>
    <row r="472" spans="1:8" s="66" customFormat="1" ht="18" customHeight="1" x14ac:dyDescent="0.3">
      <c r="A472" s="63">
        <v>7847</v>
      </c>
      <c r="B472" s="64" t="s">
        <v>697</v>
      </c>
      <c r="C472" s="65" t="s">
        <v>891</v>
      </c>
      <c r="D472" s="65" t="s">
        <v>1154</v>
      </c>
      <c r="E472" s="65" t="s">
        <v>693</v>
      </c>
      <c r="F472" s="65" t="s">
        <v>1692</v>
      </c>
      <c r="G472" s="65" t="s">
        <v>0</v>
      </c>
      <c r="H472" s="65" t="s">
        <v>1693</v>
      </c>
    </row>
    <row r="473" spans="1:8" s="66" customFormat="1" ht="18" customHeight="1" x14ac:dyDescent="0.3">
      <c r="A473" s="63">
        <v>7848</v>
      </c>
      <c r="B473" s="64" t="s">
        <v>740</v>
      </c>
      <c r="C473" s="65" t="s">
        <v>891</v>
      </c>
      <c r="D473" s="65" t="s">
        <v>1154</v>
      </c>
      <c r="E473" s="65" t="s">
        <v>693</v>
      </c>
      <c r="F473" s="65" t="s">
        <v>1694</v>
      </c>
      <c r="G473" s="65" t="s">
        <v>3</v>
      </c>
      <c r="H473" s="65" t="s">
        <v>1695</v>
      </c>
    </row>
    <row r="474" spans="1:8" s="66" customFormat="1" ht="18" customHeight="1" x14ac:dyDescent="0.3">
      <c r="A474" s="63">
        <v>7849</v>
      </c>
      <c r="B474" s="64" t="s">
        <v>698</v>
      </c>
      <c r="C474" s="65" t="s">
        <v>891</v>
      </c>
      <c r="D474" s="65" t="s">
        <v>1154</v>
      </c>
      <c r="E474" s="65" t="s">
        <v>482</v>
      </c>
      <c r="F474" s="65" t="s">
        <v>1696</v>
      </c>
      <c r="G474" s="65" t="s">
        <v>13</v>
      </c>
      <c r="H474" s="65" t="s">
        <v>1168</v>
      </c>
    </row>
    <row r="475" spans="1:8" s="66" customFormat="1" ht="18" customHeight="1" x14ac:dyDescent="0.3">
      <c r="A475" s="63">
        <v>7856</v>
      </c>
      <c r="B475" s="64" t="s">
        <v>741</v>
      </c>
      <c r="C475" s="65" t="s">
        <v>891</v>
      </c>
      <c r="D475" s="65" t="s">
        <v>1154</v>
      </c>
      <c r="E475" s="65" t="s">
        <v>1</v>
      </c>
      <c r="F475" s="65" t="s">
        <v>1697</v>
      </c>
      <c r="G475" s="65" t="s">
        <v>5</v>
      </c>
      <c r="H475" s="65" t="s">
        <v>1168</v>
      </c>
    </row>
    <row r="476" spans="1:8" s="66" customFormat="1" ht="18" customHeight="1" x14ac:dyDescent="0.3">
      <c r="A476" s="63">
        <v>7857</v>
      </c>
      <c r="B476" s="64" t="s">
        <v>699</v>
      </c>
      <c r="C476" s="65" t="s">
        <v>1169</v>
      </c>
      <c r="D476" s="65" t="s">
        <v>1154</v>
      </c>
      <c r="E476" s="65" t="s">
        <v>693</v>
      </c>
      <c r="F476" s="65" t="s">
        <v>1698</v>
      </c>
      <c r="G476" s="65" t="s">
        <v>152</v>
      </c>
      <c r="H476" s="65" t="s">
        <v>1580</v>
      </c>
    </row>
    <row r="477" spans="1:8" s="66" customFormat="1" ht="18" customHeight="1" x14ac:dyDescent="0.3">
      <c r="A477" s="63">
        <v>7859</v>
      </c>
      <c r="B477" s="64" t="s">
        <v>700</v>
      </c>
      <c r="C477" s="65" t="s">
        <v>891</v>
      </c>
      <c r="D477" s="65" t="s">
        <v>1154</v>
      </c>
      <c r="E477" s="65" t="s">
        <v>1</v>
      </c>
      <c r="F477" s="65" t="s">
        <v>1699</v>
      </c>
      <c r="G477" s="65" t="s">
        <v>3</v>
      </c>
      <c r="H477" s="65" t="s">
        <v>1376</v>
      </c>
    </row>
    <row r="478" spans="1:8" s="66" customFormat="1" ht="18" customHeight="1" x14ac:dyDescent="0.3">
      <c r="A478" s="63">
        <v>7871</v>
      </c>
      <c r="B478" s="64" t="s">
        <v>701</v>
      </c>
      <c r="C478" s="65" t="s">
        <v>891</v>
      </c>
      <c r="D478" s="65" t="s">
        <v>1154</v>
      </c>
      <c r="E478" s="65" t="s">
        <v>1</v>
      </c>
      <c r="F478" s="65" t="s">
        <v>1700</v>
      </c>
      <c r="G478" s="65" t="s">
        <v>0</v>
      </c>
      <c r="H478" s="65" t="s">
        <v>1156</v>
      </c>
    </row>
    <row r="479" spans="1:8" s="66" customFormat="1" ht="18" customHeight="1" x14ac:dyDescent="0.3">
      <c r="A479" s="63">
        <v>7873</v>
      </c>
      <c r="B479" s="64" t="s">
        <v>702</v>
      </c>
      <c r="C479" s="65" t="s">
        <v>891</v>
      </c>
      <c r="D479" s="65" t="s">
        <v>1220</v>
      </c>
      <c r="E479" s="65" t="s">
        <v>158</v>
      </c>
      <c r="F479" s="65" t="s">
        <v>1701</v>
      </c>
      <c r="G479" s="65" t="s">
        <v>0</v>
      </c>
      <c r="H479" s="65" t="s">
        <v>1156</v>
      </c>
    </row>
    <row r="480" spans="1:8" s="66" customFormat="1" ht="18" customHeight="1" x14ac:dyDescent="0.3">
      <c r="A480" s="63">
        <v>7874</v>
      </c>
      <c r="B480" s="64" t="s">
        <v>703</v>
      </c>
      <c r="C480" s="65" t="s">
        <v>891</v>
      </c>
      <c r="D480" s="65" t="s">
        <v>1220</v>
      </c>
      <c r="E480" s="65" t="s">
        <v>158</v>
      </c>
      <c r="F480" s="65" t="s">
        <v>1702</v>
      </c>
      <c r="G480" s="65" t="s">
        <v>0</v>
      </c>
      <c r="H480" s="65" t="s">
        <v>1156</v>
      </c>
    </row>
    <row r="481" spans="1:8" s="66" customFormat="1" ht="18" customHeight="1" x14ac:dyDescent="0.3">
      <c r="A481" s="63">
        <v>7875</v>
      </c>
      <c r="B481" s="64" t="s">
        <v>704</v>
      </c>
      <c r="C481" s="65" t="s">
        <v>891</v>
      </c>
      <c r="D481" s="65" t="s">
        <v>1154</v>
      </c>
      <c r="E481" s="65" t="s">
        <v>473</v>
      </c>
      <c r="F481" s="65" t="s">
        <v>1703</v>
      </c>
      <c r="G481" s="65" t="s">
        <v>0</v>
      </c>
      <c r="H481" s="65" t="s">
        <v>1156</v>
      </c>
    </row>
    <row r="482" spans="1:8" s="66" customFormat="1" ht="18" customHeight="1" x14ac:dyDescent="0.3">
      <c r="A482" s="63">
        <v>7885</v>
      </c>
      <c r="B482" s="64" t="s">
        <v>706</v>
      </c>
      <c r="C482" s="65" t="s">
        <v>891</v>
      </c>
      <c r="D482" s="65" t="s">
        <v>1154</v>
      </c>
      <c r="E482" s="65" t="s">
        <v>693</v>
      </c>
      <c r="F482" s="65" t="s">
        <v>1704</v>
      </c>
      <c r="G482" s="65" t="s">
        <v>12</v>
      </c>
      <c r="H482" s="65" t="s">
        <v>1168</v>
      </c>
    </row>
    <row r="483" spans="1:8" s="66" customFormat="1" ht="18" customHeight="1" x14ac:dyDescent="0.3">
      <c r="A483" s="63">
        <v>7888</v>
      </c>
      <c r="B483" s="64" t="s">
        <v>742</v>
      </c>
      <c r="C483" s="65" t="s">
        <v>891</v>
      </c>
      <c r="D483" s="65" t="s">
        <v>1220</v>
      </c>
      <c r="E483" s="65" t="s">
        <v>158</v>
      </c>
      <c r="F483" s="65" t="s">
        <v>1705</v>
      </c>
      <c r="G483" s="65" t="s">
        <v>3</v>
      </c>
      <c r="H483" s="65" t="s">
        <v>1568</v>
      </c>
    </row>
    <row r="484" spans="1:8" s="66" customFormat="1" ht="18" customHeight="1" x14ac:dyDescent="0.3">
      <c r="A484" s="63">
        <v>7890</v>
      </c>
      <c r="B484" s="64" t="s">
        <v>707</v>
      </c>
      <c r="C484" s="65" t="s">
        <v>891</v>
      </c>
      <c r="D484" s="65" t="s">
        <v>1220</v>
      </c>
      <c r="E484" s="65" t="s">
        <v>158</v>
      </c>
      <c r="F484" s="65" t="s">
        <v>1706</v>
      </c>
      <c r="G484" s="65" t="s">
        <v>17</v>
      </c>
      <c r="H484" s="65" t="s">
        <v>1212</v>
      </c>
    </row>
    <row r="485" spans="1:8" s="66" customFormat="1" ht="18" customHeight="1" x14ac:dyDescent="0.3">
      <c r="A485" s="63">
        <v>7891</v>
      </c>
      <c r="B485" s="64" t="s">
        <v>708</v>
      </c>
      <c r="C485" s="65" t="s">
        <v>891</v>
      </c>
      <c r="D485" s="65" t="s">
        <v>1220</v>
      </c>
      <c r="E485" s="65" t="s">
        <v>158</v>
      </c>
      <c r="F485" s="65" t="s">
        <v>1707</v>
      </c>
      <c r="G485" s="65" t="s">
        <v>17</v>
      </c>
      <c r="H485" s="65" t="s">
        <v>1212</v>
      </c>
    </row>
    <row r="486" spans="1:8" s="66" customFormat="1" ht="18" customHeight="1" x14ac:dyDescent="0.3">
      <c r="A486" s="63">
        <v>7894</v>
      </c>
      <c r="B486" s="64" t="s">
        <v>1708</v>
      </c>
      <c r="C486" s="65" t="s">
        <v>1344</v>
      </c>
      <c r="D486" s="65" t="s">
        <v>1220</v>
      </c>
      <c r="E486" s="65" t="s">
        <v>158</v>
      </c>
      <c r="F486" s="65" t="s">
        <v>1709</v>
      </c>
      <c r="G486" s="65" t="s">
        <v>1346</v>
      </c>
      <c r="H486" s="65" t="s">
        <v>1168</v>
      </c>
    </row>
    <row r="487" spans="1:8" s="66" customFormat="1" ht="18" customHeight="1" x14ac:dyDescent="0.3">
      <c r="A487" s="63">
        <v>7896</v>
      </c>
      <c r="B487" s="64" t="s">
        <v>709</v>
      </c>
      <c r="C487" s="65" t="s">
        <v>891</v>
      </c>
      <c r="D487" s="65" t="s">
        <v>1154</v>
      </c>
      <c r="E487" s="65" t="s">
        <v>693</v>
      </c>
      <c r="F487" s="65" t="s">
        <v>1710</v>
      </c>
      <c r="G487" s="65" t="s">
        <v>0</v>
      </c>
      <c r="H487" s="65" t="s">
        <v>1711</v>
      </c>
    </row>
    <row r="488" spans="1:8" s="66" customFormat="1" ht="18" customHeight="1" x14ac:dyDescent="0.3">
      <c r="A488" s="63">
        <v>7898</v>
      </c>
      <c r="B488" s="64" t="s">
        <v>710</v>
      </c>
      <c r="C488" s="65" t="s">
        <v>891</v>
      </c>
      <c r="D488" s="65" t="s">
        <v>1154</v>
      </c>
      <c r="E488" s="65" t="s">
        <v>1</v>
      </c>
      <c r="F488" s="65" t="s">
        <v>1712</v>
      </c>
      <c r="G488" s="65" t="s">
        <v>0</v>
      </c>
      <c r="H488" s="65" t="s">
        <v>1713</v>
      </c>
    </row>
    <row r="489" spans="1:8" s="66" customFormat="1" ht="18" customHeight="1" x14ac:dyDescent="0.3">
      <c r="A489" s="63">
        <v>7900</v>
      </c>
      <c r="B489" s="64" t="s">
        <v>711</v>
      </c>
      <c r="C489" s="65" t="s">
        <v>891</v>
      </c>
      <c r="D489" s="65" t="s">
        <v>1154</v>
      </c>
      <c r="E489" s="65" t="s">
        <v>473</v>
      </c>
      <c r="F489" s="65" t="s">
        <v>1714</v>
      </c>
      <c r="G489" s="65" t="s">
        <v>10</v>
      </c>
      <c r="H489" s="65" t="s">
        <v>1715</v>
      </c>
    </row>
    <row r="490" spans="1:8" s="66" customFormat="1" ht="18" customHeight="1" x14ac:dyDescent="0.3">
      <c r="A490" s="63">
        <v>7901</v>
      </c>
      <c r="B490" s="64" t="s">
        <v>1128</v>
      </c>
      <c r="C490" s="65" t="s">
        <v>891</v>
      </c>
      <c r="D490" s="65" t="s">
        <v>1154</v>
      </c>
      <c r="E490" s="65" t="s">
        <v>693</v>
      </c>
      <c r="F490" s="65" t="s">
        <v>1716</v>
      </c>
      <c r="G490" s="65" t="s">
        <v>1122</v>
      </c>
      <c r="H490" s="65" t="s">
        <v>1717</v>
      </c>
    </row>
    <row r="491" spans="1:8" s="66" customFormat="1" ht="18" customHeight="1" x14ac:dyDescent="0.3">
      <c r="A491" s="63">
        <v>7903</v>
      </c>
      <c r="B491" s="64" t="s">
        <v>712</v>
      </c>
      <c r="C491" s="65" t="s">
        <v>891</v>
      </c>
      <c r="D491" s="65" t="s">
        <v>1220</v>
      </c>
      <c r="E491" s="65" t="s">
        <v>158</v>
      </c>
      <c r="F491" s="65" t="s">
        <v>1718</v>
      </c>
      <c r="G491" s="65" t="s">
        <v>0</v>
      </c>
      <c r="H491" s="65" t="s">
        <v>1174</v>
      </c>
    </row>
    <row r="492" spans="1:8" s="66" customFormat="1" ht="18" customHeight="1" x14ac:dyDescent="0.3">
      <c r="A492" s="63">
        <v>7904</v>
      </c>
      <c r="B492" s="64" t="s">
        <v>713</v>
      </c>
      <c r="C492" s="65" t="s">
        <v>891</v>
      </c>
      <c r="D492" s="65" t="s">
        <v>1220</v>
      </c>
      <c r="E492" s="65" t="s">
        <v>158</v>
      </c>
      <c r="F492" s="65" t="s">
        <v>1719</v>
      </c>
      <c r="G492" s="65" t="s">
        <v>8</v>
      </c>
      <c r="H492" s="65" t="s">
        <v>1720</v>
      </c>
    </row>
    <row r="493" spans="1:8" s="66" customFormat="1" ht="18" customHeight="1" x14ac:dyDescent="0.3">
      <c r="A493" s="63">
        <v>7907</v>
      </c>
      <c r="B493" s="64" t="s">
        <v>714</v>
      </c>
      <c r="C493" s="65" t="s">
        <v>891</v>
      </c>
      <c r="D493" s="65" t="s">
        <v>1154</v>
      </c>
      <c r="E493" s="65" t="s">
        <v>1</v>
      </c>
      <c r="F493" s="65" t="s">
        <v>1721</v>
      </c>
      <c r="G493" s="65" t="s">
        <v>10</v>
      </c>
      <c r="H493" s="65" t="s">
        <v>1168</v>
      </c>
    </row>
    <row r="494" spans="1:8" s="66" customFormat="1" ht="18" customHeight="1" x14ac:dyDescent="0.3">
      <c r="A494" s="63">
        <v>7908</v>
      </c>
      <c r="B494" s="64" t="s">
        <v>743</v>
      </c>
      <c r="C494" s="65" t="s">
        <v>891</v>
      </c>
      <c r="D494" s="65" t="s">
        <v>1154</v>
      </c>
      <c r="E494" s="65" t="s">
        <v>1</v>
      </c>
      <c r="F494" s="65" t="s">
        <v>1722</v>
      </c>
      <c r="G494" s="65" t="s">
        <v>14</v>
      </c>
      <c r="H494" s="65" t="s">
        <v>1622</v>
      </c>
    </row>
    <row r="495" spans="1:8" s="66" customFormat="1" ht="18" customHeight="1" x14ac:dyDescent="0.3">
      <c r="A495" s="63">
        <v>7910</v>
      </c>
      <c r="B495" s="64" t="s">
        <v>744</v>
      </c>
      <c r="C495" s="65" t="s">
        <v>891</v>
      </c>
      <c r="D495" s="65" t="s">
        <v>1154</v>
      </c>
      <c r="E495" s="65" t="s">
        <v>473</v>
      </c>
      <c r="F495" s="65" t="s">
        <v>1723</v>
      </c>
      <c r="G495" s="65" t="s">
        <v>10</v>
      </c>
      <c r="H495" s="65" t="s">
        <v>1715</v>
      </c>
    </row>
    <row r="496" spans="1:8" s="66" customFormat="1" ht="18" customHeight="1" x14ac:dyDescent="0.3">
      <c r="A496" s="63">
        <v>7912</v>
      </c>
      <c r="B496" s="64" t="s">
        <v>745</v>
      </c>
      <c r="C496" s="65" t="s">
        <v>891</v>
      </c>
      <c r="D496" s="65" t="s">
        <v>1154</v>
      </c>
      <c r="E496" s="65" t="s">
        <v>1</v>
      </c>
      <c r="F496" s="65" t="s">
        <v>1724</v>
      </c>
      <c r="G496" s="65" t="s">
        <v>10</v>
      </c>
      <c r="H496" s="65" t="s">
        <v>1209</v>
      </c>
    </row>
    <row r="497" spans="1:8" s="66" customFormat="1" ht="18" customHeight="1" x14ac:dyDescent="0.3">
      <c r="A497" s="63">
        <v>7913</v>
      </c>
      <c r="B497" s="64" t="s">
        <v>715</v>
      </c>
      <c r="C497" s="65" t="s">
        <v>891</v>
      </c>
      <c r="D497" s="65" t="s">
        <v>1154</v>
      </c>
      <c r="E497" s="65" t="s">
        <v>1</v>
      </c>
      <c r="F497" s="65" t="s">
        <v>1725</v>
      </c>
      <c r="G497" s="65" t="s">
        <v>157</v>
      </c>
      <c r="H497" s="65" t="s">
        <v>1168</v>
      </c>
    </row>
    <row r="498" spans="1:8" s="66" customFormat="1" ht="18" customHeight="1" x14ac:dyDescent="0.3">
      <c r="A498" s="63">
        <v>7918</v>
      </c>
      <c r="B498" s="64" t="s">
        <v>716</v>
      </c>
      <c r="C498" s="65" t="s">
        <v>891</v>
      </c>
      <c r="D498" s="65" t="s">
        <v>1220</v>
      </c>
      <c r="E498" s="65" t="s">
        <v>158</v>
      </c>
      <c r="F498" s="65" t="s">
        <v>1726</v>
      </c>
      <c r="G498" s="65" t="s">
        <v>0</v>
      </c>
      <c r="H498" s="65" t="s">
        <v>1156</v>
      </c>
    </row>
    <row r="499" spans="1:8" s="66" customFormat="1" ht="18" customHeight="1" x14ac:dyDescent="0.3">
      <c r="A499" s="63">
        <v>7933</v>
      </c>
      <c r="B499" s="64" t="s">
        <v>717</v>
      </c>
      <c r="C499" s="65" t="s">
        <v>891</v>
      </c>
      <c r="D499" s="65" t="s">
        <v>1154</v>
      </c>
      <c r="E499" s="65" t="s">
        <v>693</v>
      </c>
      <c r="F499" s="65" t="s">
        <v>1727</v>
      </c>
      <c r="G499" s="65" t="s">
        <v>157</v>
      </c>
      <c r="H499" s="65" t="s">
        <v>1728</v>
      </c>
    </row>
    <row r="500" spans="1:8" s="66" customFormat="1" ht="18" customHeight="1" x14ac:dyDescent="0.3">
      <c r="A500" s="63">
        <v>7936</v>
      </c>
      <c r="B500" s="64" t="s">
        <v>718</v>
      </c>
      <c r="C500" s="65" t="s">
        <v>891</v>
      </c>
      <c r="D500" s="65" t="s">
        <v>1154</v>
      </c>
      <c r="E500" s="65" t="s">
        <v>693</v>
      </c>
      <c r="F500" s="65" t="s">
        <v>1729</v>
      </c>
      <c r="G500" s="65" t="s">
        <v>7</v>
      </c>
      <c r="H500" s="65" t="s">
        <v>1730</v>
      </c>
    </row>
    <row r="501" spans="1:8" s="66" customFormat="1" ht="18" customHeight="1" x14ac:dyDescent="0.3">
      <c r="A501" s="63">
        <v>7937</v>
      </c>
      <c r="B501" s="64" t="s">
        <v>719</v>
      </c>
      <c r="C501" s="65" t="s">
        <v>891</v>
      </c>
      <c r="D501" s="65" t="s">
        <v>1154</v>
      </c>
      <c r="E501" s="65" t="s">
        <v>482</v>
      </c>
      <c r="F501" s="65" t="s">
        <v>1731</v>
      </c>
      <c r="G501" s="65" t="s">
        <v>3</v>
      </c>
      <c r="H501" s="65" t="s">
        <v>1376</v>
      </c>
    </row>
    <row r="502" spans="1:8" s="66" customFormat="1" ht="18" customHeight="1" x14ac:dyDescent="0.3">
      <c r="A502" s="63">
        <v>7938</v>
      </c>
      <c r="B502" s="64" t="s">
        <v>720</v>
      </c>
      <c r="C502" s="65" t="s">
        <v>891</v>
      </c>
      <c r="D502" s="65" t="s">
        <v>1154</v>
      </c>
      <c r="E502" s="65" t="s">
        <v>693</v>
      </c>
      <c r="F502" s="65" t="s">
        <v>1732</v>
      </c>
      <c r="G502" s="65" t="s">
        <v>0</v>
      </c>
      <c r="H502" s="65" t="s">
        <v>1733</v>
      </c>
    </row>
    <row r="503" spans="1:8" s="66" customFormat="1" ht="18" customHeight="1" x14ac:dyDescent="0.3">
      <c r="A503" s="63">
        <v>7939</v>
      </c>
      <c r="B503" s="64" t="s">
        <v>721</v>
      </c>
      <c r="C503" s="65" t="s">
        <v>891</v>
      </c>
      <c r="D503" s="65" t="s">
        <v>1154</v>
      </c>
      <c r="E503" s="65" t="s">
        <v>473</v>
      </c>
      <c r="F503" s="65" t="s">
        <v>1734</v>
      </c>
      <c r="G503" s="65" t="s">
        <v>0</v>
      </c>
      <c r="H503" s="65" t="s">
        <v>1183</v>
      </c>
    </row>
    <row r="504" spans="1:8" s="66" customFormat="1" ht="18" customHeight="1" x14ac:dyDescent="0.3">
      <c r="A504" s="63">
        <v>7940</v>
      </c>
      <c r="B504" s="64" t="s">
        <v>722</v>
      </c>
      <c r="C504" s="65" t="s">
        <v>891</v>
      </c>
      <c r="D504" s="65" t="s">
        <v>1154</v>
      </c>
      <c r="E504" s="65" t="s">
        <v>693</v>
      </c>
      <c r="F504" s="65" t="s">
        <v>1735</v>
      </c>
      <c r="G504" s="65" t="s">
        <v>0</v>
      </c>
      <c r="H504" s="65" t="s">
        <v>1185</v>
      </c>
    </row>
    <row r="505" spans="1:8" s="66" customFormat="1" ht="18" customHeight="1" x14ac:dyDescent="0.3">
      <c r="A505" s="63">
        <v>7945</v>
      </c>
      <c r="B505" s="64" t="s">
        <v>1042</v>
      </c>
      <c r="C505" s="65" t="s">
        <v>891</v>
      </c>
      <c r="D505" s="65" t="s">
        <v>1043</v>
      </c>
      <c r="E505" s="65" t="s">
        <v>1043</v>
      </c>
      <c r="F505" s="65" t="s">
        <v>1736</v>
      </c>
      <c r="G505" s="65" t="s">
        <v>0</v>
      </c>
      <c r="H505" s="65" t="s">
        <v>1305</v>
      </c>
    </row>
    <row r="506" spans="1:8" s="66" customFormat="1" ht="18" customHeight="1" x14ac:dyDescent="0.3">
      <c r="A506" s="63">
        <v>7948</v>
      </c>
      <c r="B506" s="64" t="s">
        <v>746</v>
      </c>
      <c r="C506" s="65" t="s">
        <v>891</v>
      </c>
      <c r="D506" s="65" t="s">
        <v>1154</v>
      </c>
      <c r="E506" s="65" t="s">
        <v>693</v>
      </c>
      <c r="F506" s="65" t="s">
        <v>1737</v>
      </c>
      <c r="G506" s="65" t="s">
        <v>3</v>
      </c>
      <c r="H506" s="65" t="s">
        <v>1738</v>
      </c>
    </row>
    <row r="507" spans="1:8" s="66" customFormat="1" ht="18" customHeight="1" x14ac:dyDescent="0.3">
      <c r="A507" s="63">
        <v>7954</v>
      </c>
      <c r="B507" s="64" t="s">
        <v>747</v>
      </c>
      <c r="C507" s="65" t="s">
        <v>891</v>
      </c>
      <c r="D507" s="65" t="s">
        <v>1154</v>
      </c>
      <c r="E507" s="65" t="s">
        <v>1</v>
      </c>
      <c r="F507" s="65" t="s">
        <v>1739</v>
      </c>
      <c r="G507" s="65" t="s">
        <v>0</v>
      </c>
      <c r="H507" s="65" t="s">
        <v>1156</v>
      </c>
    </row>
    <row r="508" spans="1:8" s="66" customFormat="1" ht="18" customHeight="1" x14ac:dyDescent="0.3">
      <c r="A508" s="63">
        <v>7956</v>
      </c>
      <c r="B508" s="64" t="s">
        <v>797</v>
      </c>
      <c r="C508" s="65" t="s">
        <v>891</v>
      </c>
      <c r="D508" s="65" t="s">
        <v>1154</v>
      </c>
      <c r="E508" s="65" t="s">
        <v>1</v>
      </c>
      <c r="F508" s="65" t="s">
        <v>1740</v>
      </c>
      <c r="G508" s="65" t="s">
        <v>0</v>
      </c>
      <c r="H508" s="65" t="s">
        <v>1156</v>
      </c>
    </row>
    <row r="509" spans="1:8" s="66" customFormat="1" ht="18" customHeight="1" x14ac:dyDescent="0.3">
      <c r="A509" s="63">
        <v>7967</v>
      </c>
      <c r="B509" s="64" t="s">
        <v>723</v>
      </c>
      <c r="C509" s="65" t="s">
        <v>1169</v>
      </c>
      <c r="D509" s="65" t="s">
        <v>1154</v>
      </c>
      <c r="E509" s="65" t="s">
        <v>482</v>
      </c>
      <c r="F509" s="65" t="s">
        <v>1741</v>
      </c>
      <c r="G509" s="65" t="s">
        <v>154</v>
      </c>
      <c r="H509" s="65" t="s">
        <v>1168</v>
      </c>
    </row>
    <row r="510" spans="1:8" s="66" customFormat="1" ht="18" customHeight="1" x14ac:dyDescent="0.3">
      <c r="A510" s="63">
        <v>7971</v>
      </c>
      <c r="B510" s="64" t="s">
        <v>748</v>
      </c>
      <c r="C510" s="65" t="s">
        <v>891</v>
      </c>
      <c r="D510" s="65" t="s">
        <v>1154</v>
      </c>
      <c r="E510" s="65" t="s">
        <v>693</v>
      </c>
      <c r="F510" s="65" t="s">
        <v>1742</v>
      </c>
      <c r="G510" s="65" t="s">
        <v>14</v>
      </c>
      <c r="H510" s="65" t="s">
        <v>1743</v>
      </c>
    </row>
    <row r="511" spans="1:8" s="66" customFormat="1" ht="18" customHeight="1" x14ac:dyDescent="0.3">
      <c r="A511" s="63">
        <v>7980</v>
      </c>
      <c r="B511" s="64" t="s">
        <v>724</v>
      </c>
      <c r="C511" s="65" t="s">
        <v>1169</v>
      </c>
      <c r="D511" s="65" t="s">
        <v>1154</v>
      </c>
      <c r="E511" s="65" t="s">
        <v>482</v>
      </c>
      <c r="F511" s="65" t="s">
        <v>1744</v>
      </c>
      <c r="G511" s="65" t="s">
        <v>6</v>
      </c>
      <c r="H511" s="65" t="s">
        <v>1214</v>
      </c>
    </row>
    <row r="512" spans="1:8" s="66" customFormat="1" ht="18" customHeight="1" x14ac:dyDescent="0.3">
      <c r="A512" s="63">
        <v>7991</v>
      </c>
      <c r="B512" s="64" t="s">
        <v>327</v>
      </c>
      <c r="C512" s="65" t="s">
        <v>1169</v>
      </c>
      <c r="D512" s="65" t="s">
        <v>1154</v>
      </c>
      <c r="E512" s="65" t="s">
        <v>482</v>
      </c>
      <c r="F512" s="65" t="s">
        <v>1745</v>
      </c>
      <c r="G512" s="65" t="s">
        <v>6</v>
      </c>
      <c r="H512" s="65" t="s">
        <v>1678</v>
      </c>
    </row>
    <row r="513" spans="1:8" s="66" customFormat="1" ht="18" customHeight="1" x14ac:dyDescent="0.3">
      <c r="A513" s="63">
        <v>7994</v>
      </c>
      <c r="B513" s="64" t="s">
        <v>1129</v>
      </c>
      <c r="C513" s="65" t="s">
        <v>891</v>
      </c>
      <c r="D513" s="65" t="s">
        <v>1154</v>
      </c>
      <c r="E513" s="65" t="s">
        <v>693</v>
      </c>
      <c r="F513" s="65" t="s">
        <v>1746</v>
      </c>
      <c r="G513" s="65" t="s">
        <v>1122</v>
      </c>
      <c r="H513" s="65" t="s">
        <v>1747</v>
      </c>
    </row>
    <row r="514" spans="1:8" s="66" customFormat="1" ht="18" customHeight="1" x14ac:dyDescent="0.3">
      <c r="A514" s="67">
        <v>7995</v>
      </c>
      <c r="B514" s="68" t="s">
        <v>2074</v>
      </c>
      <c r="C514" s="69" t="s">
        <v>891</v>
      </c>
      <c r="D514" s="67" t="s">
        <v>1154</v>
      </c>
      <c r="E514" s="67" t="s">
        <v>482</v>
      </c>
      <c r="F514" s="67" t="s">
        <v>2101</v>
      </c>
      <c r="G514" s="67" t="s">
        <v>2108</v>
      </c>
      <c r="H514" s="65" t="s">
        <v>1168</v>
      </c>
    </row>
    <row r="515" spans="1:8" s="66" customFormat="1" ht="18" customHeight="1" x14ac:dyDescent="0.3">
      <c r="A515" s="67">
        <v>7995</v>
      </c>
      <c r="B515" s="68" t="s">
        <v>2074</v>
      </c>
      <c r="C515" s="67" t="s">
        <v>891</v>
      </c>
      <c r="D515" s="67" t="s">
        <v>1154</v>
      </c>
      <c r="E515" s="67" t="s">
        <v>482</v>
      </c>
      <c r="F515" s="67" t="s">
        <v>2101</v>
      </c>
      <c r="G515" s="67" t="s">
        <v>2108</v>
      </c>
      <c r="H515" s="65" t="s">
        <v>1168</v>
      </c>
    </row>
    <row r="516" spans="1:8" s="66" customFormat="1" ht="18" customHeight="1" x14ac:dyDescent="0.3">
      <c r="A516" s="67">
        <v>8003</v>
      </c>
      <c r="B516" s="68" t="s">
        <v>2075</v>
      </c>
      <c r="C516" s="69" t="s">
        <v>891</v>
      </c>
      <c r="D516" s="67" t="s">
        <v>1220</v>
      </c>
      <c r="E516" s="67" t="s">
        <v>158</v>
      </c>
      <c r="F516" s="67" t="s">
        <v>2102</v>
      </c>
      <c r="G516" s="67" t="s">
        <v>2108</v>
      </c>
      <c r="H516" s="65" t="s">
        <v>1168</v>
      </c>
    </row>
    <row r="517" spans="1:8" s="66" customFormat="1" ht="18" customHeight="1" x14ac:dyDescent="0.3">
      <c r="A517" s="67">
        <v>8003</v>
      </c>
      <c r="B517" s="68" t="s">
        <v>2075</v>
      </c>
      <c r="C517" s="67" t="s">
        <v>891</v>
      </c>
      <c r="D517" s="67" t="s">
        <v>1220</v>
      </c>
      <c r="E517" s="67" t="s">
        <v>158</v>
      </c>
      <c r="F517" s="67" t="s">
        <v>2102</v>
      </c>
      <c r="G517" s="67" t="s">
        <v>2108</v>
      </c>
      <c r="H517" s="65" t="s">
        <v>1168</v>
      </c>
    </row>
    <row r="518" spans="1:8" s="66" customFormat="1" ht="18" customHeight="1" x14ac:dyDescent="0.3">
      <c r="A518" s="63">
        <v>8004</v>
      </c>
      <c r="B518" s="64" t="s">
        <v>725</v>
      </c>
      <c r="C518" s="65" t="s">
        <v>891</v>
      </c>
      <c r="D518" s="65" t="s">
        <v>1220</v>
      </c>
      <c r="E518" s="65" t="s">
        <v>158</v>
      </c>
      <c r="F518" s="65" t="s">
        <v>1748</v>
      </c>
      <c r="G518" s="65" t="s">
        <v>11</v>
      </c>
      <c r="H518" s="65" t="s">
        <v>1260</v>
      </c>
    </row>
    <row r="519" spans="1:8" s="66" customFormat="1" ht="18" customHeight="1" x14ac:dyDescent="0.3">
      <c r="A519" s="63">
        <v>8016</v>
      </c>
      <c r="B519" s="64" t="s">
        <v>749</v>
      </c>
      <c r="C519" s="65" t="s">
        <v>891</v>
      </c>
      <c r="D519" s="65" t="s">
        <v>1154</v>
      </c>
      <c r="E519" s="65" t="s">
        <v>1</v>
      </c>
      <c r="F519" s="65" t="s">
        <v>1749</v>
      </c>
      <c r="G519" s="65" t="s">
        <v>0</v>
      </c>
      <c r="H519" s="65" t="s">
        <v>1183</v>
      </c>
    </row>
    <row r="520" spans="1:8" s="66" customFormat="1" ht="18" customHeight="1" x14ac:dyDescent="0.3">
      <c r="A520" s="63">
        <v>8018</v>
      </c>
      <c r="B520" s="64" t="s">
        <v>750</v>
      </c>
      <c r="C520" s="65" t="s">
        <v>891</v>
      </c>
      <c r="D520" s="65" t="s">
        <v>1154</v>
      </c>
      <c r="E520" s="65" t="s">
        <v>693</v>
      </c>
      <c r="F520" s="65" t="s">
        <v>1750</v>
      </c>
      <c r="G520" s="65" t="s">
        <v>13</v>
      </c>
      <c r="H520" s="65" t="s">
        <v>1751</v>
      </c>
    </row>
    <row r="521" spans="1:8" s="66" customFormat="1" ht="18" customHeight="1" x14ac:dyDescent="0.3">
      <c r="A521" s="63">
        <v>8020</v>
      </c>
      <c r="B521" s="64" t="s">
        <v>726</v>
      </c>
      <c r="C521" s="65" t="s">
        <v>891</v>
      </c>
      <c r="D521" s="65" t="s">
        <v>1220</v>
      </c>
      <c r="E521" s="65" t="s">
        <v>158</v>
      </c>
      <c r="F521" s="65" t="s">
        <v>1752</v>
      </c>
      <c r="G521" s="65" t="s">
        <v>0</v>
      </c>
      <c r="H521" s="65" t="s">
        <v>1637</v>
      </c>
    </row>
    <row r="522" spans="1:8" s="66" customFormat="1" ht="18" customHeight="1" x14ac:dyDescent="0.3">
      <c r="A522" s="63">
        <v>8023</v>
      </c>
      <c r="B522" s="64" t="s">
        <v>751</v>
      </c>
      <c r="C522" s="65" t="s">
        <v>891</v>
      </c>
      <c r="D522" s="65" t="s">
        <v>1154</v>
      </c>
      <c r="E522" s="65" t="s">
        <v>473</v>
      </c>
      <c r="F522" s="65" t="s">
        <v>1753</v>
      </c>
      <c r="G522" s="65" t="s">
        <v>0</v>
      </c>
      <c r="H522" s="65" t="s">
        <v>1156</v>
      </c>
    </row>
    <row r="523" spans="1:8" s="66" customFormat="1" ht="18" customHeight="1" x14ac:dyDescent="0.3">
      <c r="A523" s="63">
        <v>8026</v>
      </c>
      <c r="B523" s="64" t="s">
        <v>1044</v>
      </c>
      <c r="C523" s="65" t="s">
        <v>891</v>
      </c>
      <c r="D523" s="65" t="s">
        <v>1043</v>
      </c>
      <c r="E523" s="65" t="s">
        <v>1043</v>
      </c>
      <c r="F523" s="65" t="s">
        <v>1754</v>
      </c>
      <c r="G523" s="65" t="s">
        <v>0</v>
      </c>
      <c r="H523" s="65" t="s">
        <v>1166</v>
      </c>
    </row>
    <row r="524" spans="1:8" s="66" customFormat="1" ht="18" customHeight="1" x14ac:dyDescent="0.3">
      <c r="A524" s="63">
        <v>8028</v>
      </c>
      <c r="B524" s="64" t="s">
        <v>752</v>
      </c>
      <c r="C524" s="65" t="s">
        <v>1169</v>
      </c>
      <c r="D524" s="65" t="s">
        <v>1154</v>
      </c>
      <c r="E524" s="65" t="s">
        <v>482</v>
      </c>
      <c r="F524" s="65" t="s">
        <v>1755</v>
      </c>
      <c r="G524" s="65" t="s">
        <v>6</v>
      </c>
      <c r="H524" s="65" t="s">
        <v>1190</v>
      </c>
    </row>
    <row r="525" spans="1:8" s="66" customFormat="1" ht="18" customHeight="1" x14ac:dyDescent="0.3">
      <c r="A525" s="63">
        <v>8031</v>
      </c>
      <c r="B525" s="64" t="s">
        <v>753</v>
      </c>
      <c r="C525" s="65" t="s">
        <v>891</v>
      </c>
      <c r="D525" s="65" t="s">
        <v>1220</v>
      </c>
      <c r="E525" s="65" t="s">
        <v>158</v>
      </c>
      <c r="F525" s="65" t="s">
        <v>1756</v>
      </c>
      <c r="G525" s="65" t="s">
        <v>16</v>
      </c>
      <c r="H525" s="65" t="s">
        <v>1207</v>
      </c>
    </row>
    <row r="526" spans="1:8" s="66" customFormat="1" ht="18" customHeight="1" x14ac:dyDescent="0.3">
      <c r="A526" s="63">
        <v>8038</v>
      </c>
      <c r="B526" s="64" t="s">
        <v>727</v>
      </c>
      <c r="C526" s="65" t="s">
        <v>891</v>
      </c>
      <c r="D526" s="65" t="s">
        <v>1220</v>
      </c>
      <c r="E526" s="65" t="s">
        <v>158</v>
      </c>
      <c r="F526" s="65" t="s">
        <v>1757</v>
      </c>
      <c r="G526" s="65" t="s">
        <v>0</v>
      </c>
      <c r="H526" s="65" t="s">
        <v>1227</v>
      </c>
    </row>
    <row r="527" spans="1:8" s="66" customFormat="1" ht="18" customHeight="1" x14ac:dyDescent="0.3">
      <c r="A527" s="63">
        <v>8039</v>
      </c>
      <c r="B527" s="64" t="s">
        <v>754</v>
      </c>
      <c r="C527" s="65" t="s">
        <v>891</v>
      </c>
      <c r="D527" s="65" t="s">
        <v>1220</v>
      </c>
      <c r="E527" s="65" t="s">
        <v>158</v>
      </c>
      <c r="F527" s="65" t="s">
        <v>1758</v>
      </c>
      <c r="G527" s="65" t="s">
        <v>20</v>
      </c>
      <c r="H527" s="65" t="s">
        <v>1168</v>
      </c>
    </row>
    <row r="528" spans="1:8" s="66" customFormat="1" ht="18" customHeight="1" x14ac:dyDescent="0.3">
      <c r="A528" s="63">
        <v>8048</v>
      </c>
      <c r="B528" s="64" t="s">
        <v>755</v>
      </c>
      <c r="C528" s="65" t="s">
        <v>1169</v>
      </c>
      <c r="D528" s="65" t="s">
        <v>1220</v>
      </c>
      <c r="E528" s="65" t="s">
        <v>158</v>
      </c>
      <c r="F528" s="65" t="s">
        <v>1759</v>
      </c>
      <c r="G528" s="65" t="s">
        <v>154</v>
      </c>
      <c r="H528" s="65" t="s">
        <v>1168</v>
      </c>
    </row>
    <row r="529" spans="1:8" s="66" customFormat="1" ht="18" customHeight="1" x14ac:dyDescent="0.3">
      <c r="A529" s="63">
        <v>8052</v>
      </c>
      <c r="B529" s="64" t="s">
        <v>756</v>
      </c>
      <c r="C529" s="65" t="s">
        <v>891</v>
      </c>
      <c r="D529" s="65" t="s">
        <v>1220</v>
      </c>
      <c r="E529" s="65" t="s">
        <v>158</v>
      </c>
      <c r="F529" s="65" t="s">
        <v>1760</v>
      </c>
      <c r="G529" s="65" t="s">
        <v>17</v>
      </c>
      <c r="H529" s="65" t="s">
        <v>1212</v>
      </c>
    </row>
    <row r="530" spans="1:8" s="66" customFormat="1" ht="18" customHeight="1" x14ac:dyDescent="0.3">
      <c r="A530" s="63">
        <v>8053</v>
      </c>
      <c r="B530" s="64" t="s">
        <v>757</v>
      </c>
      <c r="C530" s="65" t="s">
        <v>891</v>
      </c>
      <c r="D530" s="65" t="s">
        <v>1220</v>
      </c>
      <c r="E530" s="65" t="s">
        <v>158</v>
      </c>
      <c r="F530" s="65" t="s">
        <v>1761</v>
      </c>
      <c r="G530" s="65" t="s">
        <v>9</v>
      </c>
      <c r="H530" s="65" t="s">
        <v>1168</v>
      </c>
    </row>
    <row r="531" spans="1:8" s="66" customFormat="1" ht="18" customHeight="1" x14ac:dyDescent="0.3">
      <c r="A531" s="63">
        <v>8054</v>
      </c>
      <c r="B531" s="64" t="s">
        <v>758</v>
      </c>
      <c r="C531" s="65" t="s">
        <v>891</v>
      </c>
      <c r="D531" s="65" t="s">
        <v>1220</v>
      </c>
      <c r="E531" s="65" t="s">
        <v>158</v>
      </c>
      <c r="F531" s="65" t="s">
        <v>1762</v>
      </c>
      <c r="G531" s="65" t="s">
        <v>17</v>
      </c>
      <c r="H531" s="65" t="s">
        <v>1247</v>
      </c>
    </row>
    <row r="532" spans="1:8" s="66" customFormat="1" ht="18" customHeight="1" x14ac:dyDescent="0.3">
      <c r="A532" s="63">
        <v>8056</v>
      </c>
      <c r="B532" s="64" t="s">
        <v>759</v>
      </c>
      <c r="C532" s="65" t="s">
        <v>891</v>
      </c>
      <c r="D532" s="65" t="s">
        <v>1154</v>
      </c>
      <c r="E532" s="65" t="s">
        <v>1</v>
      </c>
      <c r="F532" s="65" t="s">
        <v>1763</v>
      </c>
      <c r="G532" s="65" t="s">
        <v>16</v>
      </c>
      <c r="H532" s="65" t="s">
        <v>1570</v>
      </c>
    </row>
    <row r="533" spans="1:8" s="66" customFormat="1" ht="18" customHeight="1" x14ac:dyDescent="0.3">
      <c r="A533" s="63">
        <v>8064</v>
      </c>
      <c r="B533" s="64" t="s">
        <v>760</v>
      </c>
      <c r="C533" s="65" t="s">
        <v>891</v>
      </c>
      <c r="D533" s="65" t="s">
        <v>1220</v>
      </c>
      <c r="E533" s="65" t="s">
        <v>158</v>
      </c>
      <c r="F533" s="65" t="s">
        <v>1764</v>
      </c>
      <c r="G533" s="65" t="s">
        <v>17</v>
      </c>
      <c r="H533" s="65" t="s">
        <v>1247</v>
      </c>
    </row>
    <row r="534" spans="1:8" s="66" customFormat="1" ht="18" customHeight="1" x14ac:dyDescent="0.3">
      <c r="A534" s="63">
        <v>8065</v>
      </c>
      <c r="B534" s="64" t="s">
        <v>761</v>
      </c>
      <c r="C534" s="65" t="s">
        <v>891</v>
      </c>
      <c r="D534" s="65" t="s">
        <v>1154</v>
      </c>
      <c r="E534" s="65" t="s">
        <v>482</v>
      </c>
      <c r="F534" s="65" t="s">
        <v>1765</v>
      </c>
      <c r="G534" s="65" t="s">
        <v>16</v>
      </c>
      <c r="H534" s="65" t="s">
        <v>1236</v>
      </c>
    </row>
    <row r="535" spans="1:8" s="66" customFormat="1" ht="18" customHeight="1" x14ac:dyDescent="0.3">
      <c r="A535" s="63">
        <v>8067</v>
      </c>
      <c r="B535" s="64" t="s">
        <v>762</v>
      </c>
      <c r="C535" s="65" t="s">
        <v>891</v>
      </c>
      <c r="D535" s="65" t="s">
        <v>1154</v>
      </c>
      <c r="E535" s="65" t="s">
        <v>693</v>
      </c>
      <c r="F535" s="65" t="s">
        <v>1766</v>
      </c>
      <c r="G535" s="65" t="s">
        <v>24</v>
      </c>
      <c r="H535" s="65" t="s">
        <v>1168</v>
      </c>
    </row>
    <row r="536" spans="1:8" s="66" customFormat="1" ht="18" customHeight="1" x14ac:dyDescent="0.3">
      <c r="A536" s="63">
        <v>8070</v>
      </c>
      <c r="B536" s="64" t="s">
        <v>763</v>
      </c>
      <c r="C536" s="65" t="s">
        <v>1169</v>
      </c>
      <c r="D536" s="65" t="s">
        <v>1154</v>
      </c>
      <c r="E536" s="65" t="s">
        <v>473</v>
      </c>
      <c r="F536" s="65" t="s">
        <v>1767</v>
      </c>
      <c r="G536" s="65" t="s">
        <v>156</v>
      </c>
      <c r="H536" s="65" t="s">
        <v>1363</v>
      </c>
    </row>
    <row r="537" spans="1:8" s="66" customFormat="1" ht="18" customHeight="1" x14ac:dyDescent="0.3">
      <c r="A537" s="63">
        <v>8083</v>
      </c>
      <c r="B537" s="64" t="s">
        <v>764</v>
      </c>
      <c r="C537" s="65" t="s">
        <v>891</v>
      </c>
      <c r="D537" s="65" t="s">
        <v>1154</v>
      </c>
      <c r="E537" s="65" t="s">
        <v>482</v>
      </c>
      <c r="F537" s="65" t="s">
        <v>1768</v>
      </c>
      <c r="G537" s="65" t="s">
        <v>16</v>
      </c>
      <c r="H537" s="65" t="s">
        <v>1207</v>
      </c>
    </row>
    <row r="538" spans="1:8" s="66" customFormat="1" ht="18" customHeight="1" x14ac:dyDescent="0.3">
      <c r="A538" s="63">
        <v>8087</v>
      </c>
      <c r="B538" s="64" t="s">
        <v>765</v>
      </c>
      <c r="C538" s="65" t="s">
        <v>891</v>
      </c>
      <c r="D538" s="65" t="s">
        <v>1154</v>
      </c>
      <c r="E538" s="65" t="s">
        <v>693</v>
      </c>
      <c r="F538" s="65" t="s">
        <v>1769</v>
      </c>
      <c r="G538" s="65" t="s">
        <v>14</v>
      </c>
      <c r="H538" s="65" t="s">
        <v>1770</v>
      </c>
    </row>
    <row r="539" spans="1:8" s="66" customFormat="1" ht="18" customHeight="1" x14ac:dyDescent="0.3">
      <c r="A539" s="63">
        <v>8091</v>
      </c>
      <c r="B539" s="64" t="s">
        <v>1124</v>
      </c>
      <c r="C539" s="65" t="s">
        <v>891</v>
      </c>
      <c r="D539" s="65" t="s">
        <v>1220</v>
      </c>
      <c r="E539" s="65" t="s">
        <v>158</v>
      </c>
      <c r="F539" s="65" t="s">
        <v>1771</v>
      </c>
      <c r="G539" s="65" t="s">
        <v>1122</v>
      </c>
      <c r="H539" s="65" t="s">
        <v>1168</v>
      </c>
    </row>
    <row r="540" spans="1:8" s="66" customFormat="1" ht="18" customHeight="1" x14ac:dyDescent="0.3">
      <c r="A540" s="63">
        <v>8092</v>
      </c>
      <c r="B540" s="64" t="s">
        <v>766</v>
      </c>
      <c r="C540" s="65" t="s">
        <v>891</v>
      </c>
      <c r="D540" s="65" t="s">
        <v>1220</v>
      </c>
      <c r="E540" s="65" t="s">
        <v>158</v>
      </c>
      <c r="F540" s="65" t="s">
        <v>1772</v>
      </c>
      <c r="G540" s="65" t="s">
        <v>16</v>
      </c>
      <c r="H540" s="65" t="s">
        <v>1207</v>
      </c>
    </row>
    <row r="541" spans="1:8" s="66" customFormat="1" ht="18" customHeight="1" x14ac:dyDescent="0.3">
      <c r="A541" s="63">
        <v>8097</v>
      </c>
      <c r="B541" s="64" t="s">
        <v>767</v>
      </c>
      <c r="C541" s="65" t="s">
        <v>891</v>
      </c>
      <c r="D541" s="65" t="s">
        <v>1154</v>
      </c>
      <c r="E541" s="65" t="s">
        <v>482</v>
      </c>
      <c r="F541" s="65" t="s">
        <v>1773</v>
      </c>
      <c r="G541" s="65" t="s">
        <v>5</v>
      </c>
      <c r="H541" s="65" t="s">
        <v>1168</v>
      </c>
    </row>
    <row r="542" spans="1:8" s="66" customFormat="1" ht="18" customHeight="1" x14ac:dyDescent="0.3">
      <c r="A542" s="63">
        <v>8099</v>
      </c>
      <c r="B542" s="64" t="s">
        <v>768</v>
      </c>
      <c r="C542" s="65" t="s">
        <v>891</v>
      </c>
      <c r="D542" s="65" t="s">
        <v>1154</v>
      </c>
      <c r="E542" s="65" t="s">
        <v>1</v>
      </c>
      <c r="F542" s="65" t="s">
        <v>1774</v>
      </c>
      <c r="G542" s="65" t="s">
        <v>15</v>
      </c>
      <c r="H542" s="65" t="s">
        <v>1168</v>
      </c>
    </row>
    <row r="543" spans="1:8" s="66" customFormat="1" ht="18" customHeight="1" x14ac:dyDescent="0.3">
      <c r="A543" s="63">
        <v>8103</v>
      </c>
      <c r="B543" s="64" t="s">
        <v>769</v>
      </c>
      <c r="C543" s="65" t="s">
        <v>891</v>
      </c>
      <c r="D543" s="65" t="s">
        <v>1154</v>
      </c>
      <c r="E543" s="65" t="s">
        <v>482</v>
      </c>
      <c r="F543" s="65" t="s">
        <v>1775</v>
      </c>
      <c r="G543" s="65" t="s">
        <v>11</v>
      </c>
      <c r="H543" s="65" t="s">
        <v>1497</v>
      </c>
    </row>
    <row r="544" spans="1:8" s="66" customFormat="1" ht="18" customHeight="1" x14ac:dyDescent="0.3">
      <c r="A544" s="63">
        <v>8116</v>
      </c>
      <c r="B544" s="64" t="s">
        <v>770</v>
      </c>
      <c r="C544" s="65" t="s">
        <v>891</v>
      </c>
      <c r="D544" s="65" t="s">
        <v>1154</v>
      </c>
      <c r="E544" s="65" t="s">
        <v>482</v>
      </c>
      <c r="F544" s="65" t="s">
        <v>1776</v>
      </c>
      <c r="G544" s="65" t="s">
        <v>0</v>
      </c>
      <c r="H544" s="65" t="s">
        <v>1156</v>
      </c>
    </row>
    <row r="545" spans="1:8" s="66" customFormat="1" ht="18" customHeight="1" x14ac:dyDescent="0.3">
      <c r="A545" s="63">
        <v>8117</v>
      </c>
      <c r="B545" s="64" t="s">
        <v>771</v>
      </c>
      <c r="C545" s="65" t="s">
        <v>891</v>
      </c>
      <c r="D545" s="65" t="s">
        <v>1154</v>
      </c>
      <c r="E545" s="65" t="s">
        <v>693</v>
      </c>
      <c r="F545" s="65" t="s">
        <v>1777</v>
      </c>
      <c r="G545" s="65" t="s">
        <v>12</v>
      </c>
      <c r="H545" s="65" t="s">
        <v>1778</v>
      </c>
    </row>
    <row r="546" spans="1:8" s="66" customFormat="1" ht="18" customHeight="1" x14ac:dyDescent="0.3">
      <c r="A546" s="63">
        <v>8121</v>
      </c>
      <c r="B546" s="64" t="s">
        <v>772</v>
      </c>
      <c r="C546" s="65" t="s">
        <v>891</v>
      </c>
      <c r="D546" s="65" t="s">
        <v>1154</v>
      </c>
      <c r="E546" s="65" t="s">
        <v>473</v>
      </c>
      <c r="F546" s="65" t="s">
        <v>1779</v>
      </c>
      <c r="G546" s="65" t="s">
        <v>3</v>
      </c>
      <c r="H546" s="65" t="s">
        <v>1164</v>
      </c>
    </row>
    <row r="547" spans="1:8" s="66" customFormat="1" ht="18" customHeight="1" x14ac:dyDescent="0.3">
      <c r="A547" s="63">
        <v>8125</v>
      </c>
      <c r="B547" s="64" t="s">
        <v>773</v>
      </c>
      <c r="C547" s="65" t="s">
        <v>891</v>
      </c>
      <c r="D547" s="65" t="s">
        <v>1154</v>
      </c>
      <c r="E547" s="65" t="s">
        <v>1</v>
      </c>
      <c r="F547" s="65" t="s">
        <v>1780</v>
      </c>
      <c r="G547" s="65" t="s">
        <v>9</v>
      </c>
      <c r="H547" s="65" t="s">
        <v>1283</v>
      </c>
    </row>
    <row r="548" spans="1:8" s="66" customFormat="1" ht="18" customHeight="1" x14ac:dyDescent="0.3">
      <c r="A548" s="63">
        <v>8131</v>
      </c>
      <c r="B548" s="64" t="s">
        <v>774</v>
      </c>
      <c r="C548" s="65" t="s">
        <v>891</v>
      </c>
      <c r="D548" s="65" t="s">
        <v>1154</v>
      </c>
      <c r="E548" s="65" t="s">
        <v>1</v>
      </c>
      <c r="F548" s="65" t="s">
        <v>1781</v>
      </c>
      <c r="G548" s="65" t="s">
        <v>0</v>
      </c>
      <c r="H548" s="65" t="s">
        <v>1604</v>
      </c>
    </row>
    <row r="549" spans="1:8" s="66" customFormat="1" ht="18" customHeight="1" x14ac:dyDescent="0.3">
      <c r="A549" s="63">
        <v>8132</v>
      </c>
      <c r="B549" s="64" t="s">
        <v>775</v>
      </c>
      <c r="C549" s="65" t="s">
        <v>891</v>
      </c>
      <c r="D549" s="65" t="s">
        <v>1220</v>
      </c>
      <c r="E549" s="65" t="s">
        <v>158</v>
      </c>
      <c r="F549" s="65" t="s">
        <v>1782</v>
      </c>
      <c r="G549" s="65" t="s">
        <v>0</v>
      </c>
      <c r="H549" s="65" t="s">
        <v>1156</v>
      </c>
    </row>
    <row r="550" spans="1:8" s="66" customFormat="1" ht="18" customHeight="1" x14ac:dyDescent="0.3">
      <c r="A550" s="63">
        <v>8133</v>
      </c>
      <c r="B550" s="64" t="s">
        <v>1045</v>
      </c>
      <c r="C550" s="65" t="s">
        <v>891</v>
      </c>
      <c r="D550" s="65" t="s">
        <v>1043</v>
      </c>
      <c r="E550" s="65" t="s">
        <v>1043</v>
      </c>
      <c r="F550" s="65" t="s">
        <v>1783</v>
      </c>
      <c r="G550" s="65" t="s">
        <v>0</v>
      </c>
      <c r="H550" s="65" t="s">
        <v>1156</v>
      </c>
    </row>
    <row r="551" spans="1:8" s="66" customFormat="1" ht="18" customHeight="1" x14ac:dyDescent="0.3">
      <c r="A551" s="63">
        <v>8134</v>
      </c>
      <c r="B551" s="64" t="s">
        <v>1046</v>
      </c>
      <c r="C551" s="65" t="s">
        <v>891</v>
      </c>
      <c r="D551" s="65" t="s">
        <v>1043</v>
      </c>
      <c r="E551" s="65" t="s">
        <v>1043</v>
      </c>
      <c r="F551" s="65" t="s">
        <v>1784</v>
      </c>
      <c r="G551" s="65" t="s">
        <v>157</v>
      </c>
      <c r="H551" s="65" t="s">
        <v>1168</v>
      </c>
    </row>
    <row r="552" spans="1:8" s="66" customFormat="1" ht="18" customHeight="1" x14ac:dyDescent="0.3">
      <c r="A552" s="63">
        <v>8135</v>
      </c>
      <c r="B552" s="64" t="s">
        <v>1047</v>
      </c>
      <c r="C552" s="65" t="s">
        <v>891</v>
      </c>
      <c r="D552" s="65" t="s">
        <v>1220</v>
      </c>
      <c r="E552" s="65" t="s">
        <v>1025</v>
      </c>
      <c r="F552" s="65" t="s">
        <v>1785</v>
      </c>
      <c r="G552" s="65" t="s">
        <v>3</v>
      </c>
      <c r="H552" s="65" t="s">
        <v>1376</v>
      </c>
    </row>
    <row r="553" spans="1:8" s="66" customFormat="1" ht="18" customHeight="1" x14ac:dyDescent="0.3">
      <c r="A553" s="63">
        <v>8137</v>
      </c>
      <c r="B553" s="64" t="s">
        <v>328</v>
      </c>
      <c r="C553" s="65" t="s">
        <v>891</v>
      </c>
      <c r="D553" s="65" t="s">
        <v>1154</v>
      </c>
      <c r="E553" s="65" t="s">
        <v>482</v>
      </c>
      <c r="F553" s="65" t="s">
        <v>1786</v>
      </c>
      <c r="G553" s="65" t="s">
        <v>17</v>
      </c>
      <c r="H553" s="65" t="s">
        <v>1247</v>
      </c>
    </row>
    <row r="554" spans="1:8" s="66" customFormat="1" ht="18" customHeight="1" x14ac:dyDescent="0.3">
      <c r="A554" s="63">
        <v>8138</v>
      </c>
      <c r="B554" s="64" t="s">
        <v>776</v>
      </c>
      <c r="C554" s="65" t="s">
        <v>891</v>
      </c>
      <c r="D554" s="65" t="s">
        <v>1154</v>
      </c>
      <c r="E554" s="65" t="s">
        <v>482</v>
      </c>
      <c r="F554" s="65" t="s">
        <v>1787</v>
      </c>
      <c r="G554" s="65" t="s">
        <v>16</v>
      </c>
      <c r="H554" s="65" t="s">
        <v>1207</v>
      </c>
    </row>
    <row r="555" spans="1:8" s="66" customFormat="1" ht="18" customHeight="1" x14ac:dyDescent="0.3">
      <c r="A555" s="63">
        <v>8143</v>
      </c>
      <c r="B555" s="64" t="s">
        <v>777</v>
      </c>
      <c r="C555" s="65" t="s">
        <v>891</v>
      </c>
      <c r="D555" s="65" t="s">
        <v>1154</v>
      </c>
      <c r="E555" s="65" t="s">
        <v>482</v>
      </c>
      <c r="F555" s="65" t="s">
        <v>1788</v>
      </c>
      <c r="G555" s="65" t="s">
        <v>13</v>
      </c>
      <c r="H555" s="65" t="s">
        <v>1168</v>
      </c>
    </row>
    <row r="556" spans="1:8" s="66" customFormat="1" ht="18" customHeight="1" x14ac:dyDescent="0.3">
      <c r="A556" s="63">
        <v>8147</v>
      </c>
      <c r="B556" s="64" t="s">
        <v>778</v>
      </c>
      <c r="C556" s="65" t="s">
        <v>891</v>
      </c>
      <c r="D556" s="65" t="s">
        <v>1220</v>
      </c>
      <c r="E556" s="65" t="s">
        <v>158</v>
      </c>
      <c r="F556" s="65" t="s">
        <v>1789</v>
      </c>
      <c r="G556" s="65" t="s">
        <v>0</v>
      </c>
      <c r="H556" s="65" t="s">
        <v>1156</v>
      </c>
    </row>
    <row r="557" spans="1:8" s="66" customFormat="1" ht="18" customHeight="1" x14ac:dyDescent="0.3">
      <c r="A557" s="63">
        <v>8154</v>
      </c>
      <c r="B557" s="64" t="s">
        <v>373</v>
      </c>
      <c r="C557" s="65" t="s">
        <v>891</v>
      </c>
      <c r="D557" s="65" t="s">
        <v>1154</v>
      </c>
      <c r="E557" s="65" t="s">
        <v>482</v>
      </c>
      <c r="F557" s="65" t="s">
        <v>1790</v>
      </c>
      <c r="G557" s="65" t="s">
        <v>0</v>
      </c>
      <c r="H557" s="65" t="s">
        <v>1174</v>
      </c>
    </row>
    <row r="558" spans="1:8" s="66" customFormat="1" ht="18" customHeight="1" x14ac:dyDescent="0.3">
      <c r="A558" s="63">
        <v>8160</v>
      </c>
      <c r="B558" s="64" t="s">
        <v>779</v>
      </c>
      <c r="C558" s="65" t="s">
        <v>1169</v>
      </c>
      <c r="D558" s="65" t="s">
        <v>1154</v>
      </c>
      <c r="E558" s="65" t="s">
        <v>693</v>
      </c>
      <c r="F558" s="65" t="s">
        <v>1791</v>
      </c>
      <c r="G558" s="65" t="s">
        <v>6</v>
      </c>
      <c r="H558" s="65" t="s">
        <v>1792</v>
      </c>
    </row>
    <row r="559" spans="1:8" s="66" customFormat="1" ht="18" customHeight="1" x14ac:dyDescent="0.3">
      <c r="A559" s="63">
        <v>8161</v>
      </c>
      <c r="B559" s="64" t="s">
        <v>1048</v>
      </c>
      <c r="C559" s="65" t="s">
        <v>1169</v>
      </c>
      <c r="D559" s="65" t="s">
        <v>1043</v>
      </c>
      <c r="E559" s="65" t="s">
        <v>1043</v>
      </c>
      <c r="F559" s="65" t="s">
        <v>1793</v>
      </c>
      <c r="G559" s="65" t="s">
        <v>152</v>
      </c>
      <c r="H559" s="65" t="s">
        <v>1181</v>
      </c>
    </row>
    <row r="560" spans="1:8" s="66" customFormat="1" ht="18" customHeight="1" x14ac:dyDescent="0.3">
      <c r="A560" s="63">
        <v>8168</v>
      </c>
      <c r="B560" s="64" t="s">
        <v>798</v>
      </c>
      <c r="C560" s="65" t="s">
        <v>891</v>
      </c>
      <c r="D560" s="65" t="s">
        <v>4</v>
      </c>
      <c r="E560" s="65" t="s">
        <v>4</v>
      </c>
      <c r="F560" s="65" t="s">
        <v>1794</v>
      </c>
      <c r="G560" s="65" t="s">
        <v>0</v>
      </c>
      <c r="H560" s="65" t="s">
        <v>1166</v>
      </c>
    </row>
    <row r="561" spans="1:8" s="66" customFormat="1" ht="18" customHeight="1" x14ac:dyDescent="0.3">
      <c r="A561" s="63">
        <v>8169</v>
      </c>
      <c r="B561" s="64" t="s">
        <v>780</v>
      </c>
      <c r="C561" s="65" t="s">
        <v>891</v>
      </c>
      <c r="D561" s="65" t="s">
        <v>1154</v>
      </c>
      <c r="E561" s="65" t="s">
        <v>1</v>
      </c>
      <c r="F561" s="65" t="s">
        <v>1795</v>
      </c>
      <c r="G561" s="65" t="s">
        <v>0</v>
      </c>
      <c r="H561" s="65" t="s">
        <v>1305</v>
      </c>
    </row>
    <row r="562" spans="1:8" s="66" customFormat="1" ht="18" customHeight="1" x14ac:dyDescent="0.3">
      <c r="A562" s="63">
        <v>8172</v>
      </c>
      <c r="B562" s="64" t="s">
        <v>1049</v>
      </c>
      <c r="C562" s="65" t="s">
        <v>891</v>
      </c>
      <c r="D562" s="65" t="s">
        <v>1043</v>
      </c>
      <c r="E562" s="65" t="s">
        <v>1043</v>
      </c>
      <c r="F562" s="65" t="s">
        <v>1796</v>
      </c>
      <c r="G562" s="65" t="s">
        <v>8</v>
      </c>
      <c r="H562" s="65" t="s">
        <v>1168</v>
      </c>
    </row>
    <row r="563" spans="1:8" s="66" customFormat="1" ht="18" customHeight="1" x14ac:dyDescent="0.3">
      <c r="A563" s="63">
        <v>8183</v>
      </c>
      <c r="B563" s="64" t="s">
        <v>781</v>
      </c>
      <c r="C563" s="65" t="s">
        <v>1169</v>
      </c>
      <c r="D563" s="65" t="s">
        <v>1220</v>
      </c>
      <c r="E563" s="65" t="s">
        <v>158</v>
      </c>
      <c r="F563" s="65" t="s">
        <v>1797</v>
      </c>
      <c r="G563" s="65" t="s">
        <v>156</v>
      </c>
      <c r="H563" s="65" t="s">
        <v>1168</v>
      </c>
    </row>
    <row r="564" spans="1:8" s="66" customFormat="1" ht="18" customHeight="1" x14ac:dyDescent="0.3">
      <c r="A564" s="63">
        <v>8184</v>
      </c>
      <c r="B564" s="64" t="s">
        <v>782</v>
      </c>
      <c r="C564" s="65" t="s">
        <v>1169</v>
      </c>
      <c r="D564" s="65" t="s">
        <v>1220</v>
      </c>
      <c r="E564" s="65" t="s">
        <v>158</v>
      </c>
      <c r="F564" s="65" t="s">
        <v>1798</v>
      </c>
      <c r="G564" s="65" t="s">
        <v>154</v>
      </c>
      <c r="H564" s="65" t="s">
        <v>1799</v>
      </c>
    </row>
    <row r="565" spans="1:8" s="66" customFormat="1" ht="18" customHeight="1" x14ac:dyDescent="0.3">
      <c r="A565" s="63">
        <v>8185</v>
      </c>
      <c r="B565" s="64" t="s">
        <v>783</v>
      </c>
      <c r="C565" s="65" t="s">
        <v>1169</v>
      </c>
      <c r="D565" s="65" t="s">
        <v>1154</v>
      </c>
      <c r="E565" s="65" t="s">
        <v>482</v>
      </c>
      <c r="F565" s="65" t="s">
        <v>1800</v>
      </c>
      <c r="G565" s="65" t="s">
        <v>6</v>
      </c>
      <c r="H565" s="65" t="s">
        <v>1801</v>
      </c>
    </row>
    <row r="566" spans="1:8" s="66" customFormat="1" ht="18" customHeight="1" x14ac:dyDescent="0.3">
      <c r="A566" s="63">
        <v>8191</v>
      </c>
      <c r="B566" s="64" t="s">
        <v>784</v>
      </c>
      <c r="C566" s="65" t="s">
        <v>1169</v>
      </c>
      <c r="D566" s="65" t="s">
        <v>1154</v>
      </c>
      <c r="E566" s="65" t="s">
        <v>693</v>
      </c>
      <c r="F566" s="65" t="s">
        <v>1802</v>
      </c>
      <c r="G566" s="65" t="s">
        <v>155</v>
      </c>
      <c r="H566" s="65" t="s">
        <v>1803</v>
      </c>
    </row>
    <row r="567" spans="1:8" s="66" customFormat="1" ht="18" customHeight="1" x14ac:dyDescent="0.3">
      <c r="A567" s="63">
        <v>8193</v>
      </c>
      <c r="B567" s="64" t="s">
        <v>785</v>
      </c>
      <c r="C567" s="65" t="s">
        <v>1169</v>
      </c>
      <c r="D567" s="65" t="s">
        <v>1220</v>
      </c>
      <c r="E567" s="65" t="s">
        <v>158</v>
      </c>
      <c r="F567" s="65" t="s">
        <v>1804</v>
      </c>
      <c r="G567" s="65" t="s">
        <v>156</v>
      </c>
      <c r="H567" s="65" t="s">
        <v>1363</v>
      </c>
    </row>
    <row r="568" spans="1:8" s="66" customFormat="1" ht="18" customHeight="1" x14ac:dyDescent="0.3">
      <c r="A568" s="63">
        <v>8196</v>
      </c>
      <c r="B568" s="64" t="s">
        <v>786</v>
      </c>
      <c r="C568" s="65" t="s">
        <v>891</v>
      </c>
      <c r="D568" s="65" t="s">
        <v>1154</v>
      </c>
      <c r="E568" s="65" t="s">
        <v>482</v>
      </c>
      <c r="F568" s="65" t="s">
        <v>1805</v>
      </c>
      <c r="G568" s="65" t="s">
        <v>18</v>
      </c>
      <c r="H568" s="65" t="s">
        <v>1168</v>
      </c>
    </row>
    <row r="569" spans="1:8" s="66" customFormat="1" ht="18" customHeight="1" x14ac:dyDescent="0.3">
      <c r="A569" s="63">
        <v>8197</v>
      </c>
      <c r="B569" s="64" t="s">
        <v>787</v>
      </c>
      <c r="C569" s="65" t="s">
        <v>891</v>
      </c>
      <c r="D569" s="65" t="s">
        <v>1154</v>
      </c>
      <c r="E569" s="65" t="s">
        <v>482</v>
      </c>
      <c r="F569" s="65" t="s">
        <v>1806</v>
      </c>
      <c r="G569" s="65" t="s">
        <v>18</v>
      </c>
      <c r="H569" s="65" t="s">
        <v>1168</v>
      </c>
    </row>
    <row r="570" spans="1:8" s="66" customFormat="1" ht="18" customHeight="1" x14ac:dyDescent="0.3">
      <c r="A570" s="63">
        <v>8198</v>
      </c>
      <c r="B570" s="64" t="s">
        <v>788</v>
      </c>
      <c r="C570" s="65" t="s">
        <v>891</v>
      </c>
      <c r="D570" s="65" t="s">
        <v>1220</v>
      </c>
      <c r="E570" s="65" t="s">
        <v>158</v>
      </c>
      <c r="F570" s="65" t="s">
        <v>1807</v>
      </c>
      <c r="G570" s="65" t="s">
        <v>16</v>
      </c>
      <c r="H570" s="65" t="s">
        <v>1353</v>
      </c>
    </row>
    <row r="571" spans="1:8" s="66" customFormat="1" ht="18" customHeight="1" x14ac:dyDescent="0.3">
      <c r="A571" s="63">
        <v>8199</v>
      </c>
      <c r="B571" s="64" t="s">
        <v>789</v>
      </c>
      <c r="C571" s="65" t="s">
        <v>891</v>
      </c>
      <c r="D571" s="65" t="s">
        <v>1220</v>
      </c>
      <c r="E571" s="65" t="s">
        <v>158</v>
      </c>
      <c r="F571" s="65" t="s">
        <v>1808</v>
      </c>
      <c r="G571" s="65" t="s">
        <v>15</v>
      </c>
      <c r="H571" s="65" t="s">
        <v>1168</v>
      </c>
    </row>
    <row r="572" spans="1:8" s="66" customFormat="1" ht="18" customHeight="1" x14ac:dyDescent="0.3">
      <c r="A572" s="63">
        <v>8202</v>
      </c>
      <c r="B572" s="64" t="s">
        <v>790</v>
      </c>
      <c r="C572" s="65" t="s">
        <v>891</v>
      </c>
      <c r="D572" s="65" t="s">
        <v>1220</v>
      </c>
      <c r="E572" s="65" t="s">
        <v>158</v>
      </c>
      <c r="F572" s="65" t="s">
        <v>1809</v>
      </c>
      <c r="G572" s="65" t="s">
        <v>0</v>
      </c>
      <c r="H572" s="65" t="s">
        <v>1183</v>
      </c>
    </row>
    <row r="573" spans="1:8" s="66" customFormat="1" ht="18" customHeight="1" x14ac:dyDescent="0.3">
      <c r="A573" s="63">
        <v>8206</v>
      </c>
      <c r="B573" s="64" t="s">
        <v>1050</v>
      </c>
      <c r="C573" s="65" t="s">
        <v>891</v>
      </c>
      <c r="D573" s="65" t="s">
        <v>1043</v>
      </c>
      <c r="E573" s="65" t="s">
        <v>1043</v>
      </c>
      <c r="F573" s="65" t="s">
        <v>1810</v>
      </c>
      <c r="G573" s="65" t="s">
        <v>0</v>
      </c>
      <c r="H573" s="65" t="s">
        <v>1156</v>
      </c>
    </row>
    <row r="574" spans="1:8" s="66" customFormat="1" ht="18" customHeight="1" x14ac:dyDescent="0.3">
      <c r="A574" s="63">
        <v>8207</v>
      </c>
      <c r="B574" s="64" t="s">
        <v>799</v>
      </c>
      <c r="C574" s="65" t="s">
        <v>1169</v>
      </c>
      <c r="D574" s="65" t="s">
        <v>1220</v>
      </c>
      <c r="E574" s="65" t="s">
        <v>158</v>
      </c>
      <c r="F574" s="65" t="s">
        <v>1811</v>
      </c>
      <c r="G574" s="65" t="s">
        <v>370</v>
      </c>
      <c r="H574" s="65" t="s">
        <v>1168</v>
      </c>
    </row>
    <row r="575" spans="1:8" s="66" customFormat="1" ht="18" customHeight="1" x14ac:dyDescent="0.3">
      <c r="A575" s="63">
        <v>8217</v>
      </c>
      <c r="B575" s="64" t="s">
        <v>791</v>
      </c>
      <c r="C575" s="65" t="s">
        <v>891</v>
      </c>
      <c r="D575" s="65" t="s">
        <v>1154</v>
      </c>
      <c r="E575" s="65" t="s">
        <v>482</v>
      </c>
      <c r="F575" s="65" t="s">
        <v>1812</v>
      </c>
      <c r="G575" s="65" t="s">
        <v>21</v>
      </c>
      <c r="H575" s="65" t="s">
        <v>1168</v>
      </c>
    </row>
    <row r="576" spans="1:8" s="66" customFormat="1" ht="18" customHeight="1" x14ac:dyDescent="0.3">
      <c r="A576" s="63">
        <v>8223</v>
      </c>
      <c r="B576" s="64" t="s">
        <v>1051</v>
      </c>
      <c r="C576" s="65" t="s">
        <v>891</v>
      </c>
      <c r="D576" s="65" t="s">
        <v>1043</v>
      </c>
      <c r="E576" s="65" t="s">
        <v>1043</v>
      </c>
      <c r="F576" s="65" t="s">
        <v>1813</v>
      </c>
      <c r="G576" s="65" t="s">
        <v>0</v>
      </c>
      <c r="H576" s="65" t="s">
        <v>1166</v>
      </c>
    </row>
    <row r="577" spans="1:8" s="66" customFormat="1" ht="18" customHeight="1" x14ac:dyDescent="0.3">
      <c r="A577" s="63">
        <v>8238</v>
      </c>
      <c r="B577" s="64" t="s">
        <v>1052</v>
      </c>
      <c r="C577" s="65" t="s">
        <v>891</v>
      </c>
      <c r="D577" s="65" t="s">
        <v>1043</v>
      </c>
      <c r="E577" s="65" t="s">
        <v>1043</v>
      </c>
      <c r="F577" s="65" t="s">
        <v>1814</v>
      </c>
      <c r="G577" s="65" t="s">
        <v>10</v>
      </c>
      <c r="H577" s="65" t="s">
        <v>1168</v>
      </c>
    </row>
    <row r="578" spans="1:8" s="66" customFormat="1" ht="18" customHeight="1" x14ac:dyDescent="0.3">
      <c r="A578" s="63">
        <v>8245</v>
      </c>
      <c r="B578" s="64" t="s">
        <v>792</v>
      </c>
      <c r="C578" s="65" t="s">
        <v>891</v>
      </c>
      <c r="D578" s="65" t="s">
        <v>1154</v>
      </c>
      <c r="E578" s="65" t="s">
        <v>693</v>
      </c>
      <c r="F578" s="65" t="s">
        <v>1815</v>
      </c>
      <c r="G578" s="65" t="s">
        <v>157</v>
      </c>
      <c r="H578" s="65" t="s">
        <v>1816</v>
      </c>
    </row>
    <row r="579" spans="1:8" s="66" customFormat="1" ht="18" customHeight="1" x14ac:dyDescent="0.3">
      <c r="A579" s="63">
        <v>8247</v>
      </c>
      <c r="B579" s="64" t="s">
        <v>800</v>
      </c>
      <c r="C579" s="65" t="s">
        <v>891</v>
      </c>
      <c r="D579" s="65" t="s">
        <v>537</v>
      </c>
      <c r="E579" s="65" t="s">
        <v>537</v>
      </c>
      <c r="F579" s="65" t="s">
        <v>1817</v>
      </c>
      <c r="G579" s="65" t="s">
        <v>3</v>
      </c>
      <c r="H579" s="65" t="s">
        <v>1164</v>
      </c>
    </row>
    <row r="580" spans="1:8" s="66" customFormat="1" ht="18" customHeight="1" x14ac:dyDescent="0.3">
      <c r="A580" s="63">
        <v>8275</v>
      </c>
      <c r="B580" s="64" t="s">
        <v>1053</v>
      </c>
      <c r="C580" s="65" t="s">
        <v>891</v>
      </c>
      <c r="D580" s="65" t="s">
        <v>1043</v>
      </c>
      <c r="E580" s="65" t="s">
        <v>1043</v>
      </c>
      <c r="F580" s="65" t="s">
        <v>1818</v>
      </c>
      <c r="G580" s="65" t="s">
        <v>15</v>
      </c>
      <c r="H580" s="65" t="s">
        <v>1168</v>
      </c>
    </row>
    <row r="581" spans="1:8" s="66" customFormat="1" ht="18" customHeight="1" x14ac:dyDescent="0.3">
      <c r="A581" s="63">
        <v>8279</v>
      </c>
      <c r="B581" s="64" t="s">
        <v>801</v>
      </c>
      <c r="C581" s="65" t="s">
        <v>891</v>
      </c>
      <c r="D581" s="65" t="s">
        <v>1154</v>
      </c>
      <c r="E581" s="65" t="s">
        <v>482</v>
      </c>
      <c r="F581" s="65" t="s">
        <v>1819</v>
      </c>
      <c r="G581" s="65" t="s">
        <v>16</v>
      </c>
      <c r="H581" s="65" t="s">
        <v>1207</v>
      </c>
    </row>
    <row r="582" spans="1:8" s="66" customFormat="1" ht="18" customHeight="1" x14ac:dyDescent="0.3">
      <c r="A582" s="63">
        <v>8281</v>
      </c>
      <c r="B582" s="64" t="s">
        <v>802</v>
      </c>
      <c r="C582" s="65" t="s">
        <v>891</v>
      </c>
      <c r="D582" s="65" t="s">
        <v>1154</v>
      </c>
      <c r="E582" s="65" t="s">
        <v>473</v>
      </c>
      <c r="F582" s="65" t="s">
        <v>1820</v>
      </c>
      <c r="G582" s="65" t="s">
        <v>16</v>
      </c>
      <c r="H582" s="65" t="s">
        <v>1243</v>
      </c>
    </row>
    <row r="583" spans="1:8" s="66" customFormat="1" ht="18" customHeight="1" x14ac:dyDescent="0.3">
      <c r="A583" s="63">
        <v>8282</v>
      </c>
      <c r="B583" s="64" t="s">
        <v>803</v>
      </c>
      <c r="C583" s="65" t="s">
        <v>891</v>
      </c>
      <c r="D583" s="65" t="s">
        <v>1220</v>
      </c>
      <c r="E583" s="65" t="s">
        <v>158</v>
      </c>
      <c r="F583" s="65" t="s">
        <v>1821</v>
      </c>
      <c r="G583" s="65" t="s">
        <v>16</v>
      </c>
      <c r="H583" s="65" t="s">
        <v>1207</v>
      </c>
    </row>
    <row r="584" spans="1:8" s="66" customFormat="1" ht="18" customHeight="1" x14ac:dyDescent="0.3">
      <c r="A584" s="63">
        <v>8283</v>
      </c>
      <c r="B584" s="64" t="s">
        <v>804</v>
      </c>
      <c r="C584" s="65" t="s">
        <v>891</v>
      </c>
      <c r="D584" s="65" t="s">
        <v>1154</v>
      </c>
      <c r="E584" s="65" t="s">
        <v>482</v>
      </c>
      <c r="F584" s="65" t="s">
        <v>1822</v>
      </c>
      <c r="G584" s="65" t="s">
        <v>16</v>
      </c>
      <c r="H584" s="65" t="s">
        <v>1570</v>
      </c>
    </row>
    <row r="585" spans="1:8" s="66" customFormat="1" ht="18" customHeight="1" x14ac:dyDescent="0.3">
      <c r="A585" s="63">
        <v>8284</v>
      </c>
      <c r="B585" s="64" t="s">
        <v>805</v>
      </c>
      <c r="C585" s="65" t="s">
        <v>891</v>
      </c>
      <c r="D585" s="65" t="s">
        <v>1154</v>
      </c>
      <c r="E585" s="65" t="s">
        <v>482</v>
      </c>
      <c r="F585" s="65" t="s">
        <v>1823</v>
      </c>
      <c r="G585" s="65" t="s">
        <v>16</v>
      </c>
      <c r="H585" s="65" t="s">
        <v>1207</v>
      </c>
    </row>
    <row r="586" spans="1:8" s="66" customFormat="1" ht="18" customHeight="1" x14ac:dyDescent="0.3">
      <c r="A586" s="63">
        <v>8287</v>
      </c>
      <c r="B586" s="64" t="s">
        <v>1054</v>
      </c>
      <c r="C586" s="65" t="s">
        <v>891</v>
      </c>
      <c r="D586" s="65" t="s">
        <v>1043</v>
      </c>
      <c r="E586" s="65" t="s">
        <v>1043</v>
      </c>
      <c r="F586" s="65" t="s">
        <v>1824</v>
      </c>
      <c r="G586" s="65" t="s">
        <v>16</v>
      </c>
      <c r="H586" s="65" t="s">
        <v>1207</v>
      </c>
    </row>
    <row r="587" spans="1:8" s="66" customFormat="1" ht="18" customHeight="1" x14ac:dyDescent="0.3">
      <c r="A587" s="63">
        <v>8296</v>
      </c>
      <c r="B587" s="64" t="s">
        <v>806</v>
      </c>
      <c r="C587" s="65" t="s">
        <v>891</v>
      </c>
      <c r="D587" s="65" t="s">
        <v>549</v>
      </c>
      <c r="E587" s="65" t="s">
        <v>549</v>
      </c>
      <c r="F587" s="65" t="s">
        <v>1825</v>
      </c>
      <c r="G587" s="65" t="s">
        <v>0</v>
      </c>
      <c r="H587" s="65" t="s">
        <v>1183</v>
      </c>
    </row>
    <row r="588" spans="1:8" s="66" customFormat="1" ht="18" customHeight="1" x14ac:dyDescent="0.3">
      <c r="A588" s="63">
        <v>8298</v>
      </c>
      <c r="B588" s="64" t="s">
        <v>807</v>
      </c>
      <c r="C588" s="65" t="s">
        <v>891</v>
      </c>
      <c r="D588" s="65" t="s">
        <v>1220</v>
      </c>
      <c r="E588" s="65" t="s">
        <v>158</v>
      </c>
      <c r="F588" s="65" t="s">
        <v>1826</v>
      </c>
      <c r="G588" s="65" t="s">
        <v>14</v>
      </c>
      <c r="H588" s="65" t="s">
        <v>1612</v>
      </c>
    </row>
    <row r="589" spans="1:8" s="66" customFormat="1" ht="18" customHeight="1" x14ac:dyDescent="0.3">
      <c r="A589" s="63">
        <v>8302</v>
      </c>
      <c r="B589" s="64" t="s">
        <v>808</v>
      </c>
      <c r="C589" s="65" t="s">
        <v>891</v>
      </c>
      <c r="D589" s="65" t="s">
        <v>1220</v>
      </c>
      <c r="E589" s="65" t="s">
        <v>158</v>
      </c>
      <c r="F589" s="65" t="s">
        <v>1827</v>
      </c>
      <c r="G589" s="65" t="s">
        <v>7</v>
      </c>
      <c r="H589" s="65" t="s">
        <v>1828</v>
      </c>
    </row>
    <row r="590" spans="1:8" s="66" customFormat="1" ht="18" customHeight="1" x14ac:dyDescent="0.3">
      <c r="A590" s="63">
        <v>8306</v>
      </c>
      <c r="B590" s="64" t="s">
        <v>809</v>
      </c>
      <c r="C590" s="65" t="s">
        <v>1169</v>
      </c>
      <c r="D590" s="65" t="s">
        <v>1154</v>
      </c>
      <c r="E590" s="65" t="s">
        <v>693</v>
      </c>
      <c r="F590" s="65" t="s">
        <v>1829</v>
      </c>
      <c r="G590" s="65" t="s">
        <v>6</v>
      </c>
      <c r="H590" s="65" t="s">
        <v>1830</v>
      </c>
    </row>
    <row r="591" spans="1:8" s="66" customFormat="1" ht="18" customHeight="1" x14ac:dyDescent="0.3">
      <c r="A591" s="63">
        <v>8310</v>
      </c>
      <c r="B591" s="64" t="s">
        <v>810</v>
      </c>
      <c r="C591" s="65" t="s">
        <v>891</v>
      </c>
      <c r="D591" s="65" t="s">
        <v>1154</v>
      </c>
      <c r="E591" s="65" t="s">
        <v>482</v>
      </c>
      <c r="F591" s="65" t="s">
        <v>1831</v>
      </c>
      <c r="G591" s="65" t="s">
        <v>3</v>
      </c>
      <c r="H591" s="65" t="s">
        <v>1376</v>
      </c>
    </row>
    <row r="592" spans="1:8" s="66" customFormat="1" ht="18" customHeight="1" x14ac:dyDescent="0.3">
      <c r="A592" s="63">
        <v>8331</v>
      </c>
      <c r="B592" s="64" t="s">
        <v>811</v>
      </c>
      <c r="C592" s="65" t="s">
        <v>1169</v>
      </c>
      <c r="D592" s="65" t="s">
        <v>1220</v>
      </c>
      <c r="E592" s="65" t="s">
        <v>158</v>
      </c>
      <c r="F592" s="65" t="s">
        <v>1832</v>
      </c>
      <c r="G592" s="65" t="s">
        <v>155</v>
      </c>
      <c r="H592" s="65" t="s">
        <v>1572</v>
      </c>
    </row>
    <row r="593" spans="1:8" s="66" customFormat="1" ht="18" customHeight="1" x14ac:dyDescent="0.3">
      <c r="A593" s="63">
        <v>8339</v>
      </c>
      <c r="B593" s="64" t="s">
        <v>1055</v>
      </c>
      <c r="C593" s="65" t="s">
        <v>891</v>
      </c>
      <c r="D593" s="65" t="s">
        <v>1154</v>
      </c>
      <c r="E593" s="65" t="s">
        <v>473</v>
      </c>
      <c r="F593" s="65" t="s">
        <v>1833</v>
      </c>
      <c r="G593" s="65" t="s">
        <v>10</v>
      </c>
      <c r="H593" s="65" t="s">
        <v>1505</v>
      </c>
    </row>
    <row r="594" spans="1:8" s="66" customFormat="1" ht="18" customHeight="1" x14ac:dyDescent="0.3">
      <c r="A594" s="63">
        <v>8340</v>
      </c>
      <c r="B594" s="64" t="s">
        <v>812</v>
      </c>
      <c r="C594" s="65" t="s">
        <v>891</v>
      </c>
      <c r="D594" s="65" t="s">
        <v>1154</v>
      </c>
      <c r="E594" s="65" t="s">
        <v>482</v>
      </c>
      <c r="F594" s="65" t="s">
        <v>1834</v>
      </c>
      <c r="G594" s="65" t="s">
        <v>0</v>
      </c>
      <c r="H594" s="65" t="s">
        <v>1185</v>
      </c>
    </row>
    <row r="595" spans="1:8" s="66" customFormat="1" ht="18" customHeight="1" x14ac:dyDescent="0.3">
      <c r="A595" s="63">
        <v>8369</v>
      </c>
      <c r="B595" s="64" t="s">
        <v>813</v>
      </c>
      <c r="C595" s="65" t="s">
        <v>891</v>
      </c>
      <c r="D595" s="65" t="s">
        <v>1154</v>
      </c>
      <c r="E595" s="65" t="s">
        <v>482</v>
      </c>
      <c r="F595" s="65" t="s">
        <v>1835</v>
      </c>
      <c r="G595" s="65" t="s">
        <v>3</v>
      </c>
      <c r="H595" s="65" t="s">
        <v>1376</v>
      </c>
    </row>
    <row r="596" spans="1:8" s="66" customFormat="1" ht="18" customHeight="1" x14ac:dyDescent="0.3">
      <c r="A596" s="63">
        <v>8370</v>
      </c>
      <c r="B596" s="64" t="s">
        <v>814</v>
      </c>
      <c r="C596" s="65" t="s">
        <v>891</v>
      </c>
      <c r="D596" s="65" t="s">
        <v>1154</v>
      </c>
      <c r="E596" s="65" t="s">
        <v>482</v>
      </c>
      <c r="F596" s="65" t="s">
        <v>1836</v>
      </c>
      <c r="G596" s="65" t="s">
        <v>3</v>
      </c>
      <c r="H596" s="65" t="s">
        <v>1403</v>
      </c>
    </row>
    <row r="597" spans="1:8" s="66" customFormat="1" ht="18" customHeight="1" x14ac:dyDescent="0.3">
      <c r="A597" s="63">
        <v>8371</v>
      </c>
      <c r="B597" s="64" t="s">
        <v>815</v>
      </c>
      <c r="C597" s="65" t="s">
        <v>891</v>
      </c>
      <c r="D597" s="65" t="s">
        <v>1154</v>
      </c>
      <c r="E597" s="65" t="s">
        <v>482</v>
      </c>
      <c r="F597" s="65" t="s">
        <v>1837</v>
      </c>
      <c r="G597" s="65" t="s">
        <v>0</v>
      </c>
      <c r="H597" s="65" t="s">
        <v>1156</v>
      </c>
    </row>
    <row r="598" spans="1:8" s="66" customFormat="1" ht="18" customHeight="1" x14ac:dyDescent="0.3">
      <c r="A598" s="63">
        <v>8372</v>
      </c>
      <c r="B598" s="64" t="s">
        <v>816</v>
      </c>
      <c r="C598" s="65" t="s">
        <v>891</v>
      </c>
      <c r="D598" s="65" t="s">
        <v>1154</v>
      </c>
      <c r="E598" s="65" t="s">
        <v>482</v>
      </c>
      <c r="F598" s="65" t="s">
        <v>1838</v>
      </c>
      <c r="G598" s="65" t="s">
        <v>0</v>
      </c>
      <c r="H598" s="65" t="s">
        <v>1185</v>
      </c>
    </row>
    <row r="599" spans="1:8" s="66" customFormat="1" ht="18" customHeight="1" x14ac:dyDescent="0.3">
      <c r="A599" s="63">
        <v>8373</v>
      </c>
      <c r="B599" s="64" t="s">
        <v>817</v>
      </c>
      <c r="C599" s="65" t="s">
        <v>891</v>
      </c>
      <c r="D599" s="65" t="s">
        <v>1154</v>
      </c>
      <c r="E599" s="65" t="s">
        <v>482</v>
      </c>
      <c r="F599" s="65" t="s">
        <v>1839</v>
      </c>
      <c r="G599" s="65" t="s">
        <v>3</v>
      </c>
      <c r="H599" s="65" t="s">
        <v>1403</v>
      </c>
    </row>
    <row r="600" spans="1:8" s="66" customFormat="1" ht="18" customHeight="1" x14ac:dyDescent="0.3">
      <c r="A600" s="63">
        <v>8382</v>
      </c>
      <c r="B600" s="64" t="s">
        <v>818</v>
      </c>
      <c r="C600" s="65" t="s">
        <v>891</v>
      </c>
      <c r="D600" s="65" t="s">
        <v>1154</v>
      </c>
      <c r="E600" s="65" t="s">
        <v>482</v>
      </c>
      <c r="F600" s="65" t="s">
        <v>1840</v>
      </c>
      <c r="G600" s="65" t="s">
        <v>17</v>
      </c>
      <c r="H600" s="65" t="s">
        <v>1247</v>
      </c>
    </row>
    <row r="601" spans="1:8" s="66" customFormat="1" ht="18" customHeight="1" x14ac:dyDescent="0.3">
      <c r="A601" s="63">
        <v>8396</v>
      </c>
      <c r="B601" s="64" t="s">
        <v>819</v>
      </c>
      <c r="C601" s="65" t="s">
        <v>891</v>
      </c>
      <c r="D601" s="65" t="s">
        <v>1220</v>
      </c>
      <c r="E601" s="65" t="s">
        <v>158</v>
      </c>
      <c r="F601" s="65" t="s">
        <v>1841</v>
      </c>
      <c r="G601" s="65" t="s">
        <v>10</v>
      </c>
      <c r="H601" s="65" t="s">
        <v>1842</v>
      </c>
    </row>
    <row r="602" spans="1:8" s="66" customFormat="1" ht="18" customHeight="1" x14ac:dyDescent="0.3">
      <c r="A602" s="63">
        <v>8399</v>
      </c>
      <c r="B602" s="64" t="s">
        <v>820</v>
      </c>
      <c r="C602" s="65" t="s">
        <v>891</v>
      </c>
      <c r="D602" s="65" t="s">
        <v>1220</v>
      </c>
      <c r="E602" s="65" t="s">
        <v>158</v>
      </c>
      <c r="F602" s="65" t="s">
        <v>1843</v>
      </c>
      <c r="G602" s="65" t="s">
        <v>21</v>
      </c>
      <c r="H602" s="65" t="s">
        <v>1168</v>
      </c>
    </row>
    <row r="603" spans="1:8" s="66" customFormat="1" ht="18" customHeight="1" x14ac:dyDescent="0.3">
      <c r="A603" s="63">
        <v>8401</v>
      </c>
      <c r="B603" s="64" t="s">
        <v>821</v>
      </c>
      <c r="C603" s="65" t="s">
        <v>891</v>
      </c>
      <c r="D603" s="65" t="s">
        <v>1220</v>
      </c>
      <c r="E603" s="65" t="s">
        <v>158</v>
      </c>
      <c r="F603" s="65" t="s">
        <v>1844</v>
      </c>
      <c r="G603" s="65" t="s">
        <v>0</v>
      </c>
      <c r="H603" s="65" t="s">
        <v>1227</v>
      </c>
    </row>
    <row r="604" spans="1:8" s="66" customFormat="1" ht="18" customHeight="1" x14ac:dyDescent="0.3">
      <c r="A604" s="63">
        <v>8405</v>
      </c>
      <c r="B604" s="64" t="s">
        <v>822</v>
      </c>
      <c r="C604" s="65" t="s">
        <v>891</v>
      </c>
      <c r="D604" s="65" t="s">
        <v>1220</v>
      </c>
      <c r="E604" s="65" t="s">
        <v>158</v>
      </c>
      <c r="F604" s="65" t="s">
        <v>1845</v>
      </c>
      <c r="G604" s="65" t="s">
        <v>0</v>
      </c>
      <c r="H604" s="65" t="s">
        <v>1156</v>
      </c>
    </row>
    <row r="605" spans="1:8" s="66" customFormat="1" ht="18" customHeight="1" x14ac:dyDescent="0.3">
      <c r="A605" s="63">
        <v>8411</v>
      </c>
      <c r="B605" s="64" t="s">
        <v>403</v>
      </c>
      <c r="C605" s="65" t="s">
        <v>891</v>
      </c>
      <c r="D605" s="65" t="s">
        <v>1154</v>
      </c>
      <c r="E605" s="65" t="s">
        <v>482</v>
      </c>
      <c r="F605" s="65" t="s">
        <v>1846</v>
      </c>
      <c r="G605" s="65" t="s">
        <v>0</v>
      </c>
      <c r="H605" s="65" t="s">
        <v>1713</v>
      </c>
    </row>
    <row r="606" spans="1:8" s="66" customFormat="1" ht="18" customHeight="1" x14ac:dyDescent="0.3">
      <c r="A606" s="63">
        <v>8413</v>
      </c>
      <c r="B606" s="64" t="s">
        <v>823</v>
      </c>
      <c r="C606" s="65" t="s">
        <v>891</v>
      </c>
      <c r="D606" s="65" t="s">
        <v>1220</v>
      </c>
      <c r="E606" s="65" t="s">
        <v>158</v>
      </c>
      <c r="F606" s="65" t="s">
        <v>1847</v>
      </c>
      <c r="G606" s="65" t="s">
        <v>3</v>
      </c>
      <c r="H606" s="65" t="s">
        <v>1376</v>
      </c>
    </row>
    <row r="607" spans="1:8" s="66" customFormat="1" ht="18" customHeight="1" x14ac:dyDescent="0.3">
      <c r="A607" s="63">
        <v>8418</v>
      </c>
      <c r="B607" s="64" t="s">
        <v>824</v>
      </c>
      <c r="C607" s="65" t="s">
        <v>891</v>
      </c>
      <c r="D607" s="65" t="s">
        <v>1154</v>
      </c>
      <c r="E607" s="65" t="s">
        <v>1</v>
      </c>
      <c r="F607" s="65" t="s">
        <v>1848</v>
      </c>
      <c r="G607" s="65" t="s">
        <v>17</v>
      </c>
      <c r="H607" s="65" t="s">
        <v>1212</v>
      </c>
    </row>
    <row r="608" spans="1:8" s="66" customFormat="1" ht="18" customHeight="1" x14ac:dyDescent="0.3">
      <c r="A608" s="63">
        <v>8419</v>
      </c>
      <c r="B608" s="64" t="s">
        <v>825</v>
      </c>
      <c r="C608" s="65" t="s">
        <v>891</v>
      </c>
      <c r="D608" s="65" t="s">
        <v>1220</v>
      </c>
      <c r="E608" s="65" t="s">
        <v>158</v>
      </c>
      <c r="F608" s="65" t="s">
        <v>1849</v>
      </c>
      <c r="G608" s="65" t="s">
        <v>15</v>
      </c>
      <c r="H608" s="65" t="s">
        <v>1850</v>
      </c>
    </row>
    <row r="609" spans="1:8" s="66" customFormat="1" ht="18" customHeight="1" x14ac:dyDescent="0.3">
      <c r="A609" s="67">
        <v>8421</v>
      </c>
      <c r="B609" s="68" t="s">
        <v>2076</v>
      </c>
      <c r="C609" s="69" t="s">
        <v>891</v>
      </c>
      <c r="D609" s="67" t="s">
        <v>1220</v>
      </c>
      <c r="E609" s="67" t="s">
        <v>158</v>
      </c>
      <c r="F609" s="67" t="s">
        <v>2103</v>
      </c>
      <c r="G609" s="67" t="s">
        <v>2108</v>
      </c>
      <c r="H609" s="65" t="s">
        <v>2112</v>
      </c>
    </row>
    <row r="610" spans="1:8" s="66" customFormat="1" ht="18" customHeight="1" x14ac:dyDescent="0.3">
      <c r="A610" s="67">
        <v>8421</v>
      </c>
      <c r="B610" s="68" t="s">
        <v>2076</v>
      </c>
      <c r="C610" s="67" t="s">
        <v>891</v>
      </c>
      <c r="D610" s="67" t="s">
        <v>1220</v>
      </c>
      <c r="E610" s="67" t="s">
        <v>158</v>
      </c>
      <c r="F610" s="67" t="s">
        <v>2103</v>
      </c>
      <c r="G610" s="67" t="s">
        <v>2108</v>
      </c>
      <c r="H610" s="65" t="s">
        <v>2112</v>
      </c>
    </row>
    <row r="611" spans="1:8" s="66" customFormat="1" ht="18" customHeight="1" x14ac:dyDescent="0.3">
      <c r="A611" s="63">
        <v>8422</v>
      </c>
      <c r="B611" s="64" t="s">
        <v>826</v>
      </c>
      <c r="C611" s="65" t="s">
        <v>891</v>
      </c>
      <c r="D611" s="65" t="s">
        <v>1154</v>
      </c>
      <c r="E611" s="65" t="s">
        <v>473</v>
      </c>
      <c r="F611" s="65" t="s">
        <v>1851</v>
      </c>
      <c r="G611" s="65" t="s">
        <v>0</v>
      </c>
      <c r="H611" s="65" t="s">
        <v>1183</v>
      </c>
    </row>
    <row r="612" spans="1:8" s="66" customFormat="1" ht="18" customHeight="1" x14ac:dyDescent="0.3">
      <c r="A612" s="63">
        <v>8424</v>
      </c>
      <c r="B612" s="64" t="s">
        <v>827</v>
      </c>
      <c r="C612" s="65" t="s">
        <v>891</v>
      </c>
      <c r="D612" s="65" t="s">
        <v>1154</v>
      </c>
      <c r="E612" s="65" t="s">
        <v>693</v>
      </c>
      <c r="F612" s="65" t="s">
        <v>1852</v>
      </c>
      <c r="G612" s="65" t="s">
        <v>0</v>
      </c>
      <c r="H612" s="65" t="s">
        <v>1853</v>
      </c>
    </row>
    <row r="613" spans="1:8" s="66" customFormat="1" ht="18" customHeight="1" x14ac:dyDescent="0.3">
      <c r="A613" s="63">
        <v>8425</v>
      </c>
      <c r="B613" s="64" t="s">
        <v>828</v>
      </c>
      <c r="C613" s="65" t="s">
        <v>891</v>
      </c>
      <c r="D613" s="65" t="s">
        <v>1220</v>
      </c>
      <c r="E613" s="65" t="s">
        <v>158</v>
      </c>
      <c r="F613" s="65" t="s">
        <v>1854</v>
      </c>
      <c r="G613" s="65" t="s">
        <v>12</v>
      </c>
      <c r="H613" s="65" t="s">
        <v>1168</v>
      </c>
    </row>
    <row r="614" spans="1:8" s="66" customFormat="1" ht="18" customHeight="1" x14ac:dyDescent="0.3">
      <c r="A614" s="63">
        <v>8430</v>
      </c>
      <c r="B614" s="64" t="s">
        <v>829</v>
      </c>
      <c r="C614" s="65" t="s">
        <v>1169</v>
      </c>
      <c r="D614" s="65" t="s">
        <v>1154</v>
      </c>
      <c r="E614" s="65" t="s">
        <v>482</v>
      </c>
      <c r="F614" s="65" t="s">
        <v>1855</v>
      </c>
      <c r="G614" s="65" t="s">
        <v>6</v>
      </c>
      <c r="H614" s="65" t="s">
        <v>1190</v>
      </c>
    </row>
    <row r="615" spans="1:8" s="66" customFormat="1" ht="18" customHeight="1" x14ac:dyDescent="0.3">
      <c r="A615" s="63">
        <v>8437</v>
      </c>
      <c r="B615" s="64" t="s">
        <v>830</v>
      </c>
      <c r="C615" s="65" t="s">
        <v>1169</v>
      </c>
      <c r="D615" s="65" t="s">
        <v>1154</v>
      </c>
      <c r="E615" s="65" t="s">
        <v>473</v>
      </c>
      <c r="F615" s="65" t="s">
        <v>1856</v>
      </c>
      <c r="G615" s="65" t="s">
        <v>154</v>
      </c>
      <c r="H615" s="65" t="s">
        <v>1168</v>
      </c>
    </row>
    <row r="616" spans="1:8" s="66" customFormat="1" ht="18" customHeight="1" x14ac:dyDescent="0.3">
      <c r="A616" s="63">
        <v>8442</v>
      </c>
      <c r="B616" s="64" t="s">
        <v>831</v>
      </c>
      <c r="C616" s="65" t="s">
        <v>1169</v>
      </c>
      <c r="D616" s="65" t="s">
        <v>1220</v>
      </c>
      <c r="E616" s="65" t="s">
        <v>158</v>
      </c>
      <c r="F616" s="65" t="s">
        <v>1857</v>
      </c>
      <c r="G616" s="65" t="s">
        <v>6</v>
      </c>
      <c r="H616" s="65" t="s">
        <v>1171</v>
      </c>
    </row>
    <row r="617" spans="1:8" s="66" customFormat="1" ht="18" customHeight="1" x14ac:dyDescent="0.3">
      <c r="A617" s="63">
        <v>8446</v>
      </c>
      <c r="B617" s="64" t="s">
        <v>832</v>
      </c>
      <c r="C617" s="65" t="s">
        <v>1169</v>
      </c>
      <c r="D617" s="65" t="s">
        <v>1220</v>
      </c>
      <c r="E617" s="65" t="s">
        <v>158</v>
      </c>
      <c r="F617" s="65" t="s">
        <v>1858</v>
      </c>
      <c r="G617" s="65" t="s">
        <v>152</v>
      </c>
      <c r="H617" s="65" t="s">
        <v>1277</v>
      </c>
    </row>
    <row r="618" spans="1:8" s="66" customFormat="1" ht="18" customHeight="1" x14ac:dyDescent="0.3">
      <c r="A618" s="63">
        <v>8447</v>
      </c>
      <c r="B618" s="64" t="s">
        <v>833</v>
      </c>
      <c r="C618" s="65" t="s">
        <v>1169</v>
      </c>
      <c r="D618" s="65" t="s">
        <v>1220</v>
      </c>
      <c r="E618" s="65" t="s">
        <v>158</v>
      </c>
      <c r="F618" s="65" t="s">
        <v>1859</v>
      </c>
      <c r="G618" s="65" t="s">
        <v>152</v>
      </c>
      <c r="H618" s="65" t="s">
        <v>1277</v>
      </c>
    </row>
    <row r="619" spans="1:8" s="66" customFormat="1" ht="18" customHeight="1" x14ac:dyDescent="0.3">
      <c r="A619" s="63">
        <v>8448</v>
      </c>
      <c r="B619" s="64" t="s">
        <v>834</v>
      </c>
      <c r="C619" s="65" t="s">
        <v>1169</v>
      </c>
      <c r="D619" s="65" t="s">
        <v>1220</v>
      </c>
      <c r="E619" s="65" t="s">
        <v>158</v>
      </c>
      <c r="F619" s="65" t="s">
        <v>1860</v>
      </c>
      <c r="G619" s="65" t="s">
        <v>152</v>
      </c>
      <c r="H619" s="65" t="s">
        <v>1181</v>
      </c>
    </row>
    <row r="620" spans="1:8" s="66" customFormat="1" ht="18" customHeight="1" x14ac:dyDescent="0.3">
      <c r="A620" s="63">
        <v>8449</v>
      </c>
      <c r="B620" s="64" t="s">
        <v>835</v>
      </c>
      <c r="C620" s="65" t="s">
        <v>1169</v>
      </c>
      <c r="D620" s="65" t="s">
        <v>1220</v>
      </c>
      <c r="E620" s="65" t="s">
        <v>158</v>
      </c>
      <c r="F620" s="65" t="s">
        <v>1861</v>
      </c>
      <c r="G620" s="65" t="s">
        <v>152</v>
      </c>
      <c r="H620" s="65" t="s">
        <v>1181</v>
      </c>
    </row>
    <row r="621" spans="1:8" s="66" customFormat="1" ht="18" customHeight="1" x14ac:dyDescent="0.3">
      <c r="A621" s="63">
        <v>8450</v>
      </c>
      <c r="B621" s="64" t="s">
        <v>836</v>
      </c>
      <c r="C621" s="65" t="s">
        <v>1169</v>
      </c>
      <c r="D621" s="65" t="s">
        <v>1220</v>
      </c>
      <c r="E621" s="65" t="s">
        <v>158</v>
      </c>
      <c r="F621" s="65" t="s">
        <v>1862</v>
      </c>
      <c r="G621" s="65" t="s">
        <v>152</v>
      </c>
      <c r="H621" s="65" t="s">
        <v>1863</v>
      </c>
    </row>
    <row r="622" spans="1:8" s="66" customFormat="1" ht="18" customHeight="1" x14ac:dyDescent="0.3">
      <c r="A622" s="63">
        <v>8462</v>
      </c>
      <c r="B622" s="64" t="s">
        <v>837</v>
      </c>
      <c r="C622" s="65" t="s">
        <v>891</v>
      </c>
      <c r="D622" s="65" t="s">
        <v>1220</v>
      </c>
      <c r="E622" s="65" t="s">
        <v>158</v>
      </c>
      <c r="F622" s="65" t="s">
        <v>1864</v>
      </c>
      <c r="G622" s="65" t="s">
        <v>5</v>
      </c>
      <c r="H622" s="65" t="s">
        <v>1168</v>
      </c>
    </row>
    <row r="623" spans="1:8" s="66" customFormat="1" ht="18" customHeight="1" x14ac:dyDescent="0.3">
      <c r="A623" s="63">
        <v>8463</v>
      </c>
      <c r="B623" s="64" t="s">
        <v>838</v>
      </c>
      <c r="C623" s="65" t="s">
        <v>891</v>
      </c>
      <c r="D623" s="65" t="s">
        <v>1220</v>
      </c>
      <c r="E623" s="65" t="s">
        <v>158</v>
      </c>
      <c r="F623" s="65" t="s">
        <v>1865</v>
      </c>
      <c r="G623" s="65" t="s">
        <v>5</v>
      </c>
      <c r="H623" s="65" t="s">
        <v>1168</v>
      </c>
    </row>
    <row r="624" spans="1:8" s="66" customFormat="1" ht="18" customHeight="1" x14ac:dyDescent="0.3">
      <c r="A624" s="63">
        <v>8470</v>
      </c>
      <c r="B624" s="64" t="s">
        <v>839</v>
      </c>
      <c r="C624" s="65" t="s">
        <v>891</v>
      </c>
      <c r="D624" s="65" t="s">
        <v>1154</v>
      </c>
      <c r="E624" s="65" t="s">
        <v>482</v>
      </c>
      <c r="F624" s="65" t="s">
        <v>1866</v>
      </c>
      <c r="G624" s="65" t="s">
        <v>0</v>
      </c>
      <c r="H624" s="65" t="s">
        <v>1156</v>
      </c>
    </row>
    <row r="625" spans="1:8" s="66" customFormat="1" ht="18" customHeight="1" x14ac:dyDescent="0.3">
      <c r="A625" s="63">
        <v>8471</v>
      </c>
      <c r="B625" s="64" t="s">
        <v>840</v>
      </c>
      <c r="C625" s="65" t="s">
        <v>891</v>
      </c>
      <c r="D625" s="65" t="s">
        <v>1220</v>
      </c>
      <c r="E625" s="65" t="s">
        <v>158</v>
      </c>
      <c r="F625" s="65" t="s">
        <v>1867</v>
      </c>
      <c r="G625" s="65" t="s">
        <v>0</v>
      </c>
      <c r="H625" s="65" t="s">
        <v>1183</v>
      </c>
    </row>
    <row r="626" spans="1:8" s="66" customFormat="1" ht="18" customHeight="1" x14ac:dyDescent="0.3">
      <c r="A626" s="63">
        <v>8481</v>
      </c>
      <c r="B626" s="64" t="s">
        <v>841</v>
      </c>
      <c r="C626" s="65" t="s">
        <v>891</v>
      </c>
      <c r="D626" s="65" t="s">
        <v>1220</v>
      </c>
      <c r="E626" s="65" t="s">
        <v>158</v>
      </c>
      <c r="F626" s="65" t="s">
        <v>1868</v>
      </c>
      <c r="G626" s="65" t="s">
        <v>3</v>
      </c>
      <c r="H626" s="65" t="s">
        <v>1164</v>
      </c>
    </row>
    <row r="627" spans="1:8" s="66" customFormat="1" ht="18" customHeight="1" x14ac:dyDescent="0.3">
      <c r="A627" s="63">
        <v>8482</v>
      </c>
      <c r="B627" s="64" t="s">
        <v>1056</v>
      </c>
      <c r="C627" s="65" t="s">
        <v>891</v>
      </c>
      <c r="D627" s="65" t="s">
        <v>1039</v>
      </c>
      <c r="E627" s="65" t="s">
        <v>1039</v>
      </c>
      <c r="F627" s="65" t="s">
        <v>1869</v>
      </c>
      <c r="G627" s="65" t="s">
        <v>0</v>
      </c>
      <c r="H627" s="65" t="s">
        <v>1156</v>
      </c>
    </row>
    <row r="628" spans="1:8" s="66" customFormat="1" ht="18" customHeight="1" x14ac:dyDescent="0.3">
      <c r="A628" s="63">
        <v>8484</v>
      </c>
      <c r="B628" s="64" t="s">
        <v>1057</v>
      </c>
      <c r="C628" s="65" t="s">
        <v>891</v>
      </c>
      <c r="D628" s="65" t="s">
        <v>1039</v>
      </c>
      <c r="E628" s="65" t="s">
        <v>1039</v>
      </c>
      <c r="F628" s="65" t="s">
        <v>1870</v>
      </c>
      <c r="G628" s="65" t="s">
        <v>0</v>
      </c>
      <c r="H628" s="65" t="s">
        <v>1156</v>
      </c>
    </row>
    <row r="629" spans="1:8" s="66" customFormat="1" ht="18" customHeight="1" x14ac:dyDescent="0.3">
      <c r="A629" s="63">
        <v>8488</v>
      </c>
      <c r="B629" s="64" t="s">
        <v>842</v>
      </c>
      <c r="C629" s="65" t="s">
        <v>1169</v>
      </c>
      <c r="D629" s="65" t="s">
        <v>1220</v>
      </c>
      <c r="E629" s="65" t="s">
        <v>158</v>
      </c>
      <c r="F629" s="65" t="s">
        <v>1871</v>
      </c>
      <c r="G629" s="65" t="s">
        <v>153</v>
      </c>
      <c r="H629" s="65" t="s">
        <v>1268</v>
      </c>
    </row>
    <row r="630" spans="1:8" s="66" customFormat="1" ht="18" customHeight="1" x14ac:dyDescent="0.3">
      <c r="A630" s="63">
        <v>8499</v>
      </c>
      <c r="B630" s="64" t="s">
        <v>843</v>
      </c>
      <c r="C630" s="65" t="s">
        <v>1169</v>
      </c>
      <c r="D630" s="65" t="s">
        <v>1154</v>
      </c>
      <c r="E630" s="65" t="s">
        <v>482</v>
      </c>
      <c r="F630" s="65" t="s">
        <v>1872</v>
      </c>
      <c r="G630" s="65" t="s">
        <v>152</v>
      </c>
      <c r="H630" s="65" t="s">
        <v>1277</v>
      </c>
    </row>
    <row r="631" spans="1:8" s="66" customFormat="1" ht="18" customHeight="1" x14ac:dyDescent="0.3">
      <c r="A631" s="63">
        <v>8506</v>
      </c>
      <c r="B631" s="64" t="s">
        <v>844</v>
      </c>
      <c r="C631" s="65" t="s">
        <v>891</v>
      </c>
      <c r="D631" s="65" t="s">
        <v>1154</v>
      </c>
      <c r="E631" s="65" t="s">
        <v>693</v>
      </c>
      <c r="F631" s="65" t="s">
        <v>1873</v>
      </c>
      <c r="G631" s="65" t="s">
        <v>0</v>
      </c>
      <c r="H631" s="65" t="s">
        <v>1711</v>
      </c>
    </row>
    <row r="632" spans="1:8" s="66" customFormat="1" ht="18" customHeight="1" x14ac:dyDescent="0.3">
      <c r="A632" s="63">
        <v>8507</v>
      </c>
      <c r="B632" s="64" t="s">
        <v>845</v>
      </c>
      <c r="C632" s="65" t="s">
        <v>891</v>
      </c>
      <c r="D632" s="65" t="s">
        <v>1154</v>
      </c>
      <c r="E632" s="65" t="s">
        <v>1</v>
      </c>
      <c r="F632" s="65" t="s">
        <v>1874</v>
      </c>
      <c r="G632" s="65" t="s">
        <v>0</v>
      </c>
      <c r="H632" s="65" t="s">
        <v>1693</v>
      </c>
    </row>
    <row r="633" spans="1:8" s="66" customFormat="1" ht="18" customHeight="1" x14ac:dyDescent="0.3">
      <c r="A633" s="63">
        <v>8510</v>
      </c>
      <c r="B633" s="64" t="s">
        <v>846</v>
      </c>
      <c r="C633" s="65" t="s">
        <v>1169</v>
      </c>
      <c r="D633" s="65" t="s">
        <v>1220</v>
      </c>
      <c r="E633" s="65" t="s">
        <v>158</v>
      </c>
      <c r="F633" s="65" t="s">
        <v>1875</v>
      </c>
      <c r="G633" s="65" t="s">
        <v>152</v>
      </c>
      <c r="H633" s="65" t="s">
        <v>1584</v>
      </c>
    </row>
    <row r="634" spans="1:8" s="66" customFormat="1" ht="18" customHeight="1" x14ac:dyDescent="0.3">
      <c r="A634" s="63">
        <v>8522</v>
      </c>
      <c r="B634" s="64" t="s">
        <v>847</v>
      </c>
      <c r="C634" s="65" t="s">
        <v>891</v>
      </c>
      <c r="D634" s="65" t="s">
        <v>1154</v>
      </c>
      <c r="E634" s="65" t="s">
        <v>482</v>
      </c>
      <c r="F634" s="65" t="s">
        <v>1876</v>
      </c>
      <c r="G634" s="65" t="s">
        <v>5</v>
      </c>
      <c r="H634" s="65" t="s">
        <v>1168</v>
      </c>
    </row>
    <row r="635" spans="1:8" s="66" customFormat="1" ht="18" customHeight="1" x14ac:dyDescent="0.3">
      <c r="A635" s="63">
        <v>8523</v>
      </c>
      <c r="B635" s="64" t="s">
        <v>848</v>
      </c>
      <c r="C635" s="65" t="s">
        <v>891</v>
      </c>
      <c r="D635" s="65" t="s">
        <v>1220</v>
      </c>
      <c r="E635" s="65" t="s">
        <v>158</v>
      </c>
      <c r="F635" s="65" t="s">
        <v>1877</v>
      </c>
      <c r="G635" s="65" t="s">
        <v>0</v>
      </c>
      <c r="H635" s="65" t="s">
        <v>1604</v>
      </c>
    </row>
    <row r="636" spans="1:8" s="66" customFormat="1" ht="18" customHeight="1" x14ac:dyDescent="0.3">
      <c r="A636" s="63">
        <v>8528</v>
      </c>
      <c r="B636" s="64" t="s">
        <v>849</v>
      </c>
      <c r="C636" s="65" t="s">
        <v>1169</v>
      </c>
      <c r="D636" s="65" t="s">
        <v>1220</v>
      </c>
      <c r="E636" s="65" t="s">
        <v>158</v>
      </c>
      <c r="F636" s="65" t="s">
        <v>1878</v>
      </c>
      <c r="G636" s="65" t="s">
        <v>152</v>
      </c>
      <c r="H636" s="65" t="s">
        <v>1181</v>
      </c>
    </row>
    <row r="637" spans="1:8" s="66" customFormat="1" ht="18" customHeight="1" x14ac:dyDescent="0.3">
      <c r="A637" s="63">
        <v>8529</v>
      </c>
      <c r="B637" s="64" t="s">
        <v>850</v>
      </c>
      <c r="C637" s="65" t="s">
        <v>891</v>
      </c>
      <c r="D637" s="65" t="s">
        <v>1154</v>
      </c>
      <c r="E637" s="65" t="s">
        <v>482</v>
      </c>
      <c r="F637" s="65" t="s">
        <v>1879</v>
      </c>
      <c r="G637" s="65" t="s">
        <v>16</v>
      </c>
      <c r="H637" s="65" t="s">
        <v>1207</v>
      </c>
    </row>
    <row r="638" spans="1:8" s="66" customFormat="1" ht="18" customHeight="1" x14ac:dyDescent="0.3">
      <c r="A638" s="63">
        <v>8532</v>
      </c>
      <c r="B638" s="64" t="s">
        <v>382</v>
      </c>
      <c r="C638" s="65" t="s">
        <v>891</v>
      </c>
      <c r="D638" s="65" t="s">
        <v>1154</v>
      </c>
      <c r="E638" s="65" t="s">
        <v>482</v>
      </c>
      <c r="F638" s="65" t="s">
        <v>1880</v>
      </c>
      <c r="G638" s="65" t="s">
        <v>0</v>
      </c>
      <c r="H638" s="65" t="s">
        <v>1166</v>
      </c>
    </row>
    <row r="639" spans="1:8" s="66" customFormat="1" ht="18" customHeight="1" x14ac:dyDescent="0.3">
      <c r="A639" s="63">
        <v>8533</v>
      </c>
      <c r="B639" s="64" t="s">
        <v>372</v>
      </c>
      <c r="C639" s="65" t="s">
        <v>891</v>
      </c>
      <c r="D639" s="65" t="s">
        <v>1154</v>
      </c>
      <c r="E639" s="65" t="s">
        <v>482</v>
      </c>
      <c r="F639" s="65" t="s">
        <v>1881</v>
      </c>
      <c r="G639" s="65" t="s">
        <v>14</v>
      </c>
      <c r="H639" s="65" t="s">
        <v>1168</v>
      </c>
    </row>
    <row r="640" spans="1:8" s="66" customFormat="1" ht="18" customHeight="1" x14ac:dyDescent="0.3">
      <c r="A640" s="63">
        <v>8534</v>
      </c>
      <c r="B640" s="64" t="s">
        <v>851</v>
      </c>
      <c r="C640" s="65" t="s">
        <v>891</v>
      </c>
      <c r="D640" s="65" t="s">
        <v>1154</v>
      </c>
      <c r="E640" s="65" t="s">
        <v>482</v>
      </c>
      <c r="F640" s="65" t="s">
        <v>1882</v>
      </c>
      <c r="G640" s="65" t="s">
        <v>10</v>
      </c>
      <c r="H640" s="65" t="s">
        <v>1168</v>
      </c>
    </row>
    <row r="641" spans="1:8" s="66" customFormat="1" ht="18" customHeight="1" x14ac:dyDescent="0.3">
      <c r="A641" s="63">
        <v>8536</v>
      </c>
      <c r="B641" s="64" t="s">
        <v>852</v>
      </c>
      <c r="C641" s="65" t="s">
        <v>891</v>
      </c>
      <c r="D641" s="65" t="s">
        <v>1154</v>
      </c>
      <c r="E641" s="65" t="s">
        <v>1</v>
      </c>
      <c r="F641" s="65" t="s">
        <v>1883</v>
      </c>
      <c r="G641" s="65" t="s">
        <v>17</v>
      </c>
      <c r="H641" s="65" t="s">
        <v>1247</v>
      </c>
    </row>
    <row r="642" spans="1:8" s="66" customFormat="1" ht="18" customHeight="1" x14ac:dyDescent="0.3">
      <c r="A642" s="63">
        <v>8539</v>
      </c>
      <c r="B642" s="64" t="s">
        <v>853</v>
      </c>
      <c r="C642" s="65" t="s">
        <v>1169</v>
      </c>
      <c r="D642" s="65" t="s">
        <v>1220</v>
      </c>
      <c r="E642" s="65" t="s">
        <v>158</v>
      </c>
      <c r="F642" s="65" t="s">
        <v>1884</v>
      </c>
      <c r="G642" s="65" t="s">
        <v>6</v>
      </c>
      <c r="H642" s="65" t="s">
        <v>1171</v>
      </c>
    </row>
    <row r="643" spans="1:8" s="66" customFormat="1" ht="18" customHeight="1" x14ac:dyDescent="0.3">
      <c r="A643" s="63">
        <v>8540</v>
      </c>
      <c r="B643" s="64" t="s">
        <v>854</v>
      </c>
      <c r="C643" s="65" t="s">
        <v>1169</v>
      </c>
      <c r="D643" s="65" t="s">
        <v>1220</v>
      </c>
      <c r="E643" s="65" t="s">
        <v>158</v>
      </c>
      <c r="F643" s="65" t="s">
        <v>1885</v>
      </c>
      <c r="G643" s="65" t="s">
        <v>6</v>
      </c>
      <c r="H643" s="65" t="s">
        <v>1190</v>
      </c>
    </row>
    <row r="644" spans="1:8" s="66" customFormat="1" ht="18" customHeight="1" x14ac:dyDescent="0.3">
      <c r="A644" s="63">
        <v>8542</v>
      </c>
      <c r="B644" s="64" t="s">
        <v>855</v>
      </c>
      <c r="C644" s="65" t="s">
        <v>891</v>
      </c>
      <c r="D644" s="65" t="s">
        <v>1154</v>
      </c>
      <c r="E644" s="65" t="s">
        <v>693</v>
      </c>
      <c r="F644" s="65" t="s">
        <v>1886</v>
      </c>
      <c r="G644" s="65" t="s">
        <v>0</v>
      </c>
      <c r="H644" s="65" t="s">
        <v>1604</v>
      </c>
    </row>
    <row r="645" spans="1:8" s="66" customFormat="1" ht="18" customHeight="1" x14ac:dyDescent="0.3">
      <c r="A645" s="63">
        <v>8558</v>
      </c>
      <c r="B645" s="64" t="s">
        <v>856</v>
      </c>
      <c r="C645" s="65" t="s">
        <v>891</v>
      </c>
      <c r="D645" s="65" t="s">
        <v>1154</v>
      </c>
      <c r="E645" s="65" t="s">
        <v>482</v>
      </c>
      <c r="F645" s="65" t="s">
        <v>1887</v>
      </c>
      <c r="G645" s="65" t="s">
        <v>0</v>
      </c>
      <c r="H645" s="65" t="s">
        <v>1156</v>
      </c>
    </row>
    <row r="646" spans="1:8" s="66" customFormat="1" ht="18" customHeight="1" x14ac:dyDescent="0.3">
      <c r="A646" s="63">
        <v>8559</v>
      </c>
      <c r="B646" s="64" t="s">
        <v>857</v>
      </c>
      <c r="C646" s="65" t="s">
        <v>891</v>
      </c>
      <c r="D646" s="65" t="s">
        <v>1220</v>
      </c>
      <c r="E646" s="65" t="s">
        <v>158</v>
      </c>
      <c r="F646" s="65" t="s">
        <v>1888</v>
      </c>
      <c r="G646" s="65" t="s">
        <v>3</v>
      </c>
      <c r="H646" s="65" t="s">
        <v>1164</v>
      </c>
    </row>
    <row r="647" spans="1:8" s="66" customFormat="1" ht="18" customHeight="1" x14ac:dyDescent="0.3">
      <c r="A647" s="63">
        <v>8560</v>
      </c>
      <c r="B647" s="64" t="s">
        <v>858</v>
      </c>
      <c r="C647" s="65" t="s">
        <v>891</v>
      </c>
      <c r="D647" s="65" t="s">
        <v>1154</v>
      </c>
      <c r="E647" s="65" t="s">
        <v>482</v>
      </c>
      <c r="F647" s="65" t="s">
        <v>1889</v>
      </c>
      <c r="G647" s="65" t="s">
        <v>3</v>
      </c>
      <c r="H647" s="65" t="s">
        <v>1164</v>
      </c>
    </row>
    <row r="648" spans="1:8" s="66" customFormat="1" ht="18" customHeight="1" x14ac:dyDescent="0.3">
      <c r="A648" s="63">
        <v>8561</v>
      </c>
      <c r="B648" s="64" t="s">
        <v>859</v>
      </c>
      <c r="C648" s="65" t="s">
        <v>891</v>
      </c>
      <c r="D648" s="65" t="s">
        <v>1154</v>
      </c>
      <c r="E648" s="65" t="s">
        <v>693</v>
      </c>
      <c r="F648" s="65" t="s">
        <v>1890</v>
      </c>
      <c r="G648" s="65" t="s">
        <v>17</v>
      </c>
      <c r="H648" s="65" t="s">
        <v>1891</v>
      </c>
    </row>
    <row r="649" spans="1:8" s="66" customFormat="1" ht="18" customHeight="1" x14ac:dyDescent="0.3">
      <c r="A649" s="63">
        <v>8562</v>
      </c>
      <c r="B649" s="64" t="s">
        <v>860</v>
      </c>
      <c r="C649" s="65" t="s">
        <v>891</v>
      </c>
      <c r="D649" s="65" t="s">
        <v>1220</v>
      </c>
      <c r="E649" s="65" t="s">
        <v>158</v>
      </c>
      <c r="F649" s="65" t="s">
        <v>1892</v>
      </c>
      <c r="G649" s="65" t="s">
        <v>3</v>
      </c>
      <c r="H649" s="65" t="s">
        <v>1376</v>
      </c>
    </row>
    <row r="650" spans="1:8" s="66" customFormat="1" ht="18" customHeight="1" x14ac:dyDescent="0.3">
      <c r="A650" s="63">
        <v>8566</v>
      </c>
      <c r="B650" s="64" t="s">
        <v>861</v>
      </c>
      <c r="C650" s="65" t="s">
        <v>891</v>
      </c>
      <c r="D650" s="65" t="s">
        <v>1220</v>
      </c>
      <c r="E650" s="65" t="s">
        <v>158</v>
      </c>
      <c r="F650" s="65" t="s">
        <v>1893</v>
      </c>
      <c r="G650" s="65" t="s">
        <v>20</v>
      </c>
      <c r="H650" s="65" t="s">
        <v>1168</v>
      </c>
    </row>
    <row r="651" spans="1:8" s="66" customFormat="1" ht="18" customHeight="1" x14ac:dyDescent="0.3">
      <c r="A651" s="63">
        <v>8579</v>
      </c>
      <c r="B651" s="64" t="s">
        <v>1058</v>
      </c>
      <c r="C651" s="65" t="s">
        <v>891</v>
      </c>
      <c r="D651" s="65" t="s">
        <v>1043</v>
      </c>
      <c r="E651" s="65" t="s">
        <v>1043</v>
      </c>
      <c r="F651" s="65" t="s">
        <v>1894</v>
      </c>
      <c r="G651" s="65" t="s">
        <v>0</v>
      </c>
      <c r="H651" s="65" t="s">
        <v>1156</v>
      </c>
    </row>
    <row r="652" spans="1:8" s="66" customFormat="1" ht="18" customHeight="1" x14ac:dyDescent="0.3">
      <c r="A652" s="63">
        <v>8586</v>
      </c>
      <c r="B652" s="64" t="s">
        <v>862</v>
      </c>
      <c r="C652" s="65" t="s">
        <v>891</v>
      </c>
      <c r="D652" s="65" t="s">
        <v>1154</v>
      </c>
      <c r="E652" s="65" t="s">
        <v>1</v>
      </c>
      <c r="F652" s="65" t="s">
        <v>1895</v>
      </c>
      <c r="G652" s="65" t="s">
        <v>0</v>
      </c>
      <c r="H652" s="65" t="s">
        <v>1156</v>
      </c>
    </row>
    <row r="653" spans="1:8" s="66" customFormat="1" ht="18" customHeight="1" x14ac:dyDescent="0.3">
      <c r="A653" s="63">
        <v>8589</v>
      </c>
      <c r="B653" s="64" t="s">
        <v>863</v>
      </c>
      <c r="C653" s="65" t="s">
        <v>1169</v>
      </c>
      <c r="D653" s="65" t="s">
        <v>1154</v>
      </c>
      <c r="E653" s="65" t="s">
        <v>482</v>
      </c>
      <c r="F653" s="65" t="s">
        <v>1896</v>
      </c>
      <c r="G653" s="65" t="s">
        <v>152</v>
      </c>
      <c r="H653" s="65" t="s">
        <v>1277</v>
      </c>
    </row>
    <row r="654" spans="1:8" s="66" customFormat="1" ht="18" customHeight="1" x14ac:dyDescent="0.3">
      <c r="A654" s="63">
        <v>8592</v>
      </c>
      <c r="B654" s="64" t="s">
        <v>864</v>
      </c>
      <c r="C654" s="65" t="s">
        <v>891</v>
      </c>
      <c r="D654" s="65" t="s">
        <v>1154</v>
      </c>
      <c r="E654" s="65" t="s">
        <v>473</v>
      </c>
      <c r="F654" s="65" t="s">
        <v>1897</v>
      </c>
      <c r="G654" s="65" t="s">
        <v>16</v>
      </c>
      <c r="H654" s="65" t="s">
        <v>1236</v>
      </c>
    </row>
    <row r="655" spans="1:8" s="66" customFormat="1" ht="18" customHeight="1" x14ac:dyDescent="0.3">
      <c r="A655" s="63">
        <v>8595</v>
      </c>
      <c r="B655" s="64" t="s">
        <v>865</v>
      </c>
      <c r="C655" s="65" t="s">
        <v>1169</v>
      </c>
      <c r="D655" s="65" t="s">
        <v>1220</v>
      </c>
      <c r="E655" s="65" t="s">
        <v>158</v>
      </c>
      <c r="F655" s="65" t="s">
        <v>1898</v>
      </c>
      <c r="G655" s="65" t="s">
        <v>156</v>
      </c>
      <c r="H655" s="65" t="s">
        <v>1899</v>
      </c>
    </row>
    <row r="656" spans="1:8" s="66" customFormat="1" ht="18" customHeight="1" x14ac:dyDescent="0.3">
      <c r="A656" s="63">
        <v>8596</v>
      </c>
      <c r="B656" s="64" t="s">
        <v>866</v>
      </c>
      <c r="C656" s="65" t="s">
        <v>1169</v>
      </c>
      <c r="D656" s="65" t="s">
        <v>1220</v>
      </c>
      <c r="E656" s="65" t="s">
        <v>158</v>
      </c>
      <c r="F656" s="65" t="s">
        <v>1900</v>
      </c>
      <c r="G656" s="65" t="s">
        <v>6</v>
      </c>
      <c r="H656" s="65" t="s">
        <v>1190</v>
      </c>
    </row>
    <row r="657" spans="1:8" s="66" customFormat="1" ht="18" customHeight="1" x14ac:dyDescent="0.3">
      <c r="A657" s="63">
        <v>8598</v>
      </c>
      <c r="B657" s="64" t="s">
        <v>867</v>
      </c>
      <c r="C657" s="65" t="s">
        <v>891</v>
      </c>
      <c r="D657" s="65" t="s">
        <v>1220</v>
      </c>
      <c r="E657" s="65" t="s">
        <v>158</v>
      </c>
      <c r="F657" s="65" t="s">
        <v>1901</v>
      </c>
      <c r="G657" s="65" t="s">
        <v>0</v>
      </c>
      <c r="H657" s="65" t="s">
        <v>1239</v>
      </c>
    </row>
    <row r="658" spans="1:8" s="66" customFormat="1" ht="18" customHeight="1" x14ac:dyDescent="0.3">
      <c r="A658" s="63">
        <v>8617</v>
      </c>
      <c r="B658" s="64" t="s">
        <v>868</v>
      </c>
      <c r="C658" s="65" t="s">
        <v>1169</v>
      </c>
      <c r="D658" s="65" t="s">
        <v>1154</v>
      </c>
      <c r="E658" s="65" t="s">
        <v>482</v>
      </c>
      <c r="F658" s="65" t="s">
        <v>1902</v>
      </c>
      <c r="G658" s="65" t="s">
        <v>152</v>
      </c>
      <c r="H658" s="65" t="s">
        <v>1903</v>
      </c>
    </row>
    <row r="659" spans="1:8" s="66" customFormat="1" ht="18" customHeight="1" x14ac:dyDescent="0.3">
      <c r="A659" s="63">
        <v>8631</v>
      </c>
      <c r="B659" s="64" t="s">
        <v>869</v>
      </c>
      <c r="C659" s="65" t="s">
        <v>1169</v>
      </c>
      <c r="D659" s="65" t="s">
        <v>1154</v>
      </c>
      <c r="E659" s="65" t="s">
        <v>693</v>
      </c>
      <c r="F659" s="65" t="s">
        <v>1904</v>
      </c>
      <c r="G659" s="65" t="s">
        <v>370</v>
      </c>
      <c r="H659" s="65" t="s">
        <v>1168</v>
      </c>
    </row>
    <row r="660" spans="1:8" s="66" customFormat="1" ht="18" customHeight="1" x14ac:dyDescent="0.3">
      <c r="A660" s="63">
        <v>8632</v>
      </c>
      <c r="B660" s="64" t="s">
        <v>870</v>
      </c>
      <c r="C660" s="65" t="s">
        <v>891</v>
      </c>
      <c r="D660" s="65" t="s">
        <v>1154</v>
      </c>
      <c r="E660" s="65" t="s">
        <v>482</v>
      </c>
      <c r="F660" s="65" t="s">
        <v>1905</v>
      </c>
      <c r="G660" s="65" t="s">
        <v>0</v>
      </c>
      <c r="H660" s="65" t="s">
        <v>1166</v>
      </c>
    </row>
    <row r="661" spans="1:8" s="66" customFormat="1" ht="18" customHeight="1" x14ac:dyDescent="0.3">
      <c r="A661" s="63">
        <v>8633</v>
      </c>
      <c r="B661" s="64" t="s">
        <v>871</v>
      </c>
      <c r="C661" s="65" t="s">
        <v>891</v>
      </c>
      <c r="D661" s="65" t="s">
        <v>1154</v>
      </c>
      <c r="E661" s="65" t="s">
        <v>693</v>
      </c>
      <c r="F661" s="65" t="s">
        <v>1906</v>
      </c>
      <c r="G661" s="65" t="s">
        <v>8</v>
      </c>
      <c r="H661" s="65" t="s">
        <v>1907</v>
      </c>
    </row>
    <row r="662" spans="1:8" s="66" customFormat="1" ht="18" customHeight="1" x14ac:dyDescent="0.3">
      <c r="A662" s="67">
        <v>8650</v>
      </c>
      <c r="B662" s="68" t="s">
        <v>2077</v>
      </c>
      <c r="C662" s="69" t="s">
        <v>891</v>
      </c>
      <c r="D662" s="67" t="s">
        <v>1154</v>
      </c>
      <c r="E662" s="67" t="s">
        <v>482</v>
      </c>
      <c r="F662" s="67" t="s">
        <v>2104</v>
      </c>
      <c r="G662" s="67" t="s">
        <v>2108</v>
      </c>
      <c r="H662" s="65" t="s">
        <v>1168</v>
      </c>
    </row>
    <row r="663" spans="1:8" s="66" customFormat="1" ht="18" customHeight="1" x14ac:dyDescent="0.3">
      <c r="A663" s="67">
        <v>8650</v>
      </c>
      <c r="B663" s="68" t="s">
        <v>2077</v>
      </c>
      <c r="C663" s="67" t="s">
        <v>891</v>
      </c>
      <c r="D663" s="67" t="s">
        <v>1154</v>
      </c>
      <c r="E663" s="67" t="s">
        <v>482</v>
      </c>
      <c r="F663" s="67" t="s">
        <v>2104</v>
      </c>
      <c r="G663" s="67" t="s">
        <v>2108</v>
      </c>
      <c r="H663" s="65" t="s">
        <v>1168</v>
      </c>
    </row>
    <row r="664" spans="1:8" s="66" customFormat="1" ht="18" customHeight="1" x14ac:dyDescent="0.3">
      <c r="A664" s="63">
        <v>8653</v>
      </c>
      <c r="B664" s="64" t="s">
        <v>872</v>
      </c>
      <c r="C664" s="65" t="s">
        <v>891</v>
      </c>
      <c r="D664" s="65" t="s">
        <v>1220</v>
      </c>
      <c r="E664" s="65" t="s">
        <v>158</v>
      </c>
      <c r="F664" s="65" t="s">
        <v>1908</v>
      </c>
      <c r="G664" s="65" t="s">
        <v>7</v>
      </c>
      <c r="H664" s="65" t="s">
        <v>1610</v>
      </c>
    </row>
    <row r="665" spans="1:8" s="66" customFormat="1" ht="18" customHeight="1" x14ac:dyDescent="0.3">
      <c r="A665" s="63">
        <v>8664</v>
      </c>
      <c r="B665" s="64" t="s">
        <v>873</v>
      </c>
      <c r="C665" s="65" t="s">
        <v>891</v>
      </c>
      <c r="D665" s="65" t="s">
        <v>549</v>
      </c>
      <c r="E665" s="65" t="s">
        <v>874</v>
      </c>
      <c r="F665" s="65" t="s">
        <v>1909</v>
      </c>
      <c r="G665" s="65" t="s">
        <v>0</v>
      </c>
      <c r="H665" s="65" t="s">
        <v>1156</v>
      </c>
    </row>
    <row r="666" spans="1:8" s="66" customFormat="1" ht="18" customHeight="1" x14ac:dyDescent="0.3">
      <c r="A666" s="63">
        <v>8670</v>
      </c>
      <c r="B666" s="64" t="s">
        <v>875</v>
      </c>
      <c r="C666" s="65" t="s">
        <v>891</v>
      </c>
      <c r="D666" s="65" t="s">
        <v>1154</v>
      </c>
      <c r="E666" s="65" t="s">
        <v>473</v>
      </c>
      <c r="F666" s="65" t="s">
        <v>1910</v>
      </c>
      <c r="G666" s="65" t="s">
        <v>12</v>
      </c>
      <c r="H666" s="65" t="s">
        <v>1168</v>
      </c>
    </row>
    <row r="667" spans="1:8" s="66" customFormat="1" ht="18" customHeight="1" x14ac:dyDescent="0.3">
      <c r="A667" s="63">
        <v>8683</v>
      </c>
      <c r="B667" s="64" t="s">
        <v>876</v>
      </c>
      <c r="C667" s="65" t="s">
        <v>1169</v>
      </c>
      <c r="D667" s="65" t="s">
        <v>1154</v>
      </c>
      <c r="E667" s="65" t="s">
        <v>482</v>
      </c>
      <c r="F667" s="65" t="s">
        <v>1911</v>
      </c>
      <c r="G667" s="65" t="s">
        <v>153</v>
      </c>
      <c r="H667" s="65" t="s">
        <v>1268</v>
      </c>
    </row>
    <row r="668" spans="1:8" s="66" customFormat="1" ht="18" customHeight="1" x14ac:dyDescent="0.3">
      <c r="A668" s="63">
        <v>8686</v>
      </c>
      <c r="B668" s="64" t="s">
        <v>1059</v>
      </c>
      <c r="C668" s="65" t="s">
        <v>891</v>
      </c>
      <c r="D668" s="65" t="s">
        <v>1220</v>
      </c>
      <c r="E668" s="65" t="s">
        <v>158</v>
      </c>
      <c r="F668" s="65" t="s">
        <v>1912</v>
      </c>
      <c r="G668" s="65" t="s">
        <v>0</v>
      </c>
      <c r="H668" s="65" t="s">
        <v>1166</v>
      </c>
    </row>
    <row r="669" spans="1:8" s="66" customFormat="1" ht="18" customHeight="1" x14ac:dyDescent="0.3">
      <c r="A669" s="63">
        <v>8696</v>
      </c>
      <c r="B669" s="64" t="s">
        <v>877</v>
      </c>
      <c r="C669" s="65" t="s">
        <v>891</v>
      </c>
      <c r="D669" s="65" t="s">
        <v>1154</v>
      </c>
      <c r="E669" s="65" t="s">
        <v>1</v>
      </c>
      <c r="F669" s="65" t="s">
        <v>1913</v>
      </c>
      <c r="G669" s="65" t="s">
        <v>24</v>
      </c>
      <c r="H669" s="65" t="s">
        <v>1168</v>
      </c>
    </row>
    <row r="670" spans="1:8" s="66" customFormat="1" ht="18" customHeight="1" x14ac:dyDescent="0.3">
      <c r="A670" s="63">
        <v>8699</v>
      </c>
      <c r="B670" s="64" t="s">
        <v>1060</v>
      </c>
      <c r="C670" s="65" t="s">
        <v>891</v>
      </c>
      <c r="D670" s="65" t="s">
        <v>1043</v>
      </c>
      <c r="E670" s="65" t="s">
        <v>1043</v>
      </c>
      <c r="F670" s="65" t="s">
        <v>1914</v>
      </c>
      <c r="G670" s="65" t="s">
        <v>0</v>
      </c>
      <c r="H670" s="65" t="s">
        <v>1156</v>
      </c>
    </row>
    <row r="671" spans="1:8" s="66" customFormat="1" ht="18" customHeight="1" x14ac:dyDescent="0.3">
      <c r="A671" s="63">
        <v>8701</v>
      </c>
      <c r="B671" s="64" t="s">
        <v>878</v>
      </c>
      <c r="C671" s="65" t="s">
        <v>891</v>
      </c>
      <c r="D671" s="65" t="s">
        <v>1154</v>
      </c>
      <c r="E671" s="65" t="s">
        <v>482</v>
      </c>
      <c r="F671" s="65" t="s">
        <v>1915</v>
      </c>
      <c r="G671" s="65" t="s">
        <v>0</v>
      </c>
      <c r="H671" s="65" t="s">
        <v>1185</v>
      </c>
    </row>
    <row r="672" spans="1:8" s="66" customFormat="1" ht="18" customHeight="1" x14ac:dyDescent="0.3">
      <c r="A672" s="63">
        <v>8703</v>
      </c>
      <c r="B672" s="64" t="s">
        <v>879</v>
      </c>
      <c r="C672" s="65" t="s">
        <v>891</v>
      </c>
      <c r="D672" s="65" t="s">
        <v>549</v>
      </c>
      <c r="E672" s="65" t="s">
        <v>549</v>
      </c>
      <c r="F672" s="65" t="s">
        <v>1916</v>
      </c>
      <c r="G672" s="65" t="s">
        <v>0</v>
      </c>
      <c r="H672" s="65" t="s">
        <v>1156</v>
      </c>
    </row>
    <row r="673" spans="1:8" s="66" customFormat="1" ht="18" customHeight="1" x14ac:dyDescent="0.3">
      <c r="A673" s="63">
        <v>8704</v>
      </c>
      <c r="B673" s="64" t="s">
        <v>880</v>
      </c>
      <c r="C673" s="65" t="s">
        <v>891</v>
      </c>
      <c r="D673" s="65" t="s">
        <v>1154</v>
      </c>
      <c r="E673" s="65" t="s">
        <v>482</v>
      </c>
      <c r="F673" s="65" t="s">
        <v>1917</v>
      </c>
      <c r="G673" s="65" t="s">
        <v>5</v>
      </c>
      <c r="H673" s="65" t="s">
        <v>1168</v>
      </c>
    </row>
    <row r="674" spans="1:8" s="66" customFormat="1" ht="18" customHeight="1" x14ac:dyDescent="0.3">
      <c r="A674" s="63">
        <v>8733</v>
      </c>
      <c r="B674" s="64" t="s">
        <v>881</v>
      </c>
      <c r="C674" s="65" t="s">
        <v>891</v>
      </c>
      <c r="D674" s="65" t="s">
        <v>1154</v>
      </c>
      <c r="E674" s="65" t="s">
        <v>482</v>
      </c>
      <c r="F674" s="65" t="s">
        <v>1918</v>
      </c>
      <c r="G674" s="65" t="s">
        <v>16</v>
      </c>
      <c r="H674" s="65" t="s">
        <v>1243</v>
      </c>
    </row>
    <row r="675" spans="1:8" s="66" customFormat="1" ht="18" customHeight="1" x14ac:dyDescent="0.3">
      <c r="A675" s="63">
        <v>8734</v>
      </c>
      <c r="B675" s="64" t="s">
        <v>882</v>
      </c>
      <c r="C675" s="65" t="s">
        <v>891</v>
      </c>
      <c r="D675" s="65" t="s">
        <v>1154</v>
      </c>
      <c r="E675" s="65" t="s">
        <v>1</v>
      </c>
      <c r="F675" s="65" t="s">
        <v>1919</v>
      </c>
      <c r="G675" s="65" t="s">
        <v>16</v>
      </c>
      <c r="H675" s="65" t="s">
        <v>1207</v>
      </c>
    </row>
    <row r="676" spans="1:8" s="66" customFormat="1" ht="18" customHeight="1" x14ac:dyDescent="0.3">
      <c r="A676" s="63">
        <v>8735</v>
      </c>
      <c r="B676" s="64" t="s">
        <v>1061</v>
      </c>
      <c r="C676" s="65" t="s">
        <v>891</v>
      </c>
      <c r="D676" s="65" t="s">
        <v>1154</v>
      </c>
      <c r="E676" s="65" t="s">
        <v>482</v>
      </c>
      <c r="F676" s="65" t="s">
        <v>1920</v>
      </c>
      <c r="G676" s="65" t="s">
        <v>16</v>
      </c>
      <c r="H676" s="65" t="s">
        <v>1570</v>
      </c>
    </row>
    <row r="677" spans="1:8" s="66" customFormat="1" ht="18" customHeight="1" x14ac:dyDescent="0.3">
      <c r="A677" s="63">
        <v>8736</v>
      </c>
      <c r="B677" s="64" t="s">
        <v>1062</v>
      </c>
      <c r="C677" s="65" t="s">
        <v>891</v>
      </c>
      <c r="D677" s="65" t="s">
        <v>1154</v>
      </c>
      <c r="E677" s="65" t="s">
        <v>1</v>
      </c>
      <c r="F677" s="65" t="s">
        <v>1921</v>
      </c>
      <c r="G677" s="65" t="s">
        <v>16</v>
      </c>
      <c r="H677" s="65" t="s">
        <v>1207</v>
      </c>
    </row>
    <row r="678" spans="1:8" s="66" customFormat="1" ht="18" customHeight="1" x14ac:dyDescent="0.3">
      <c r="A678" s="63">
        <v>8737</v>
      </c>
      <c r="B678" s="64" t="s">
        <v>1063</v>
      </c>
      <c r="C678" s="65" t="s">
        <v>891</v>
      </c>
      <c r="D678" s="65" t="s">
        <v>1154</v>
      </c>
      <c r="E678" s="65" t="s">
        <v>1</v>
      </c>
      <c r="F678" s="65" t="s">
        <v>1922</v>
      </c>
      <c r="G678" s="65" t="s">
        <v>16</v>
      </c>
      <c r="H678" s="65" t="s">
        <v>1207</v>
      </c>
    </row>
    <row r="679" spans="1:8" s="66" customFormat="1" ht="18" customHeight="1" x14ac:dyDescent="0.3">
      <c r="A679" s="63">
        <v>8742</v>
      </c>
      <c r="B679" s="64" t="s">
        <v>883</v>
      </c>
      <c r="C679" s="65" t="s">
        <v>891</v>
      </c>
      <c r="D679" s="65" t="s">
        <v>1220</v>
      </c>
      <c r="E679" s="65" t="s">
        <v>158</v>
      </c>
      <c r="F679" s="65" t="s">
        <v>1923</v>
      </c>
      <c r="G679" s="65" t="s">
        <v>0</v>
      </c>
      <c r="H679" s="65" t="s">
        <v>1185</v>
      </c>
    </row>
    <row r="680" spans="1:8" s="66" customFormat="1" ht="18" customHeight="1" x14ac:dyDescent="0.3">
      <c r="A680" s="63">
        <v>8743</v>
      </c>
      <c r="B680" s="64" t="s">
        <v>884</v>
      </c>
      <c r="C680" s="65" t="s">
        <v>891</v>
      </c>
      <c r="D680" s="65" t="s">
        <v>1220</v>
      </c>
      <c r="E680" s="65" t="s">
        <v>158</v>
      </c>
      <c r="F680" s="65" t="s">
        <v>1924</v>
      </c>
      <c r="G680" s="65" t="s">
        <v>0</v>
      </c>
      <c r="H680" s="65" t="s">
        <v>1185</v>
      </c>
    </row>
    <row r="681" spans="1:8" s="66" customFormat="1" ht="18" customHeight="1" x14ac:dyDescent="0.3">
      <c r="A681" s="63">
        <v>8745</v>
      </c>
      <c r="B681" s="64" t="s">
        <v>1064</v>
      </c>
      <c r="C681" s="65" t="s">
        <v>891</v>
      </c>
      <c r="D681" s="65" t="s">
        <v>1043</v>
      </c>
      <c r="E681" s="65" t="s">
        <v>1043</v>
      </c>
      <c r="F681" s="65" t="s">
        <v>1925</v>
      </c>
      <c r="G681" s="65" t="s">
        <v>0</v>
      </c>
      <c r="H681" s="65" t="s">
        <v>1156</v>
      </c>
    </row>
    <row r="682" spans="1:8" s="66" customFormat="1" ht="18" customHeight="1" x14ac:dyDescent="0.3">
      <c r="A682" s="63">
        <v>8748</v>
      </c>
      <c r="B682" s="64" t="s">
        <v>885</v>
      </c>
      <c r="C682" s="65" t="s">
        <v>1169</v>
      </c>
      <c r="D682" s="65" t="s">
        <v>1154</v>
      </c>
      <c r="E682" s="65" t="s">
        <v>482</v>
      </c>
      <c r="F682" s="65" t="s">
        <v>1926</v>
      </c>
      <c r="G682" s="65" t="s">
        <v>6</v>
      </c>
      <c r="H682" s="65" t="s">
        <v>1262</v>
      </c>
    </row>
    <row r="683" spans="1:8" s="66" customFormat="1" ht="18" customHeight="1" x14ac:dyDescent="0.3">
      <c r="A683" s="63">
        <v>8764</v>
      </c>
      <c r="B683" s="64" t="s">
        <v>886</v>
      </c>
      <c r="C683" s="65" t="s">
        <v>1169</v>
      </c>
      <c r="D683" s="65" t="s">
        <v>1154</v>
      </c>
      <c r="E683" s="65" t="s">
        <v>693</v>
      </c>
      <c r="F683" s="65" t="s">
        <v>1927</v>
      </c>
      <c r="G683" s="65" t="s">
        <v>370</v>
      </c>
      <c r="H683" s="65" t="s">
        <v>1928</v>
      </c>
    </row>
    <row r="684" spans="1:8" s="66" customFormat="1" ht="18" customHeight="1" x14ac:dyDescent="0.3">
      <c r="A684" s="63">
        <v>8766</v>
      </c>
      <c r="B684" s="64" t="s">
        <v>887</v>
      </c>
      <c r="C684" s="65" t="s">
        <v>891</v>
      </c>
      <c r="D684" s="65" t="s">
        <v>1220</v>
      </c>
      <c r="E684" s="65" t="s">
        <v>158</v>
      </c>
      <c r="F684" s="65" t="s">
        <v>1929</v>
      </c>
      <c r="G684" s="65" t="s">
        <v>0</v>
      </c>
      <c r="H684" s="65" t="s">
        <v>1166</v>
      </c>
    </row>
    <row r="685" spans="1:8" s="66" customFormat="1" ht="18" customHeight="1" x14ac:dyDescent="0.3">
      <c r="A685" s="63">
        <v>8777</v>
      </c>
      <c r="B685" s="64" t="s">
        <v>1065</v>
      </c>
      <c r="C685" s="65" t="s">
        <v>891</v>
      </c>
      <c r="D685" s="65" t="s">
        <v>1220</v>
      </c>
      <c r="E685" s="65" t="s">
        <v>158</v>
      </c>
      <c r="F685" s="65" t="s">
        <v>1930</v>
      </c>
      <c r="G685" s="65" t="s">
        <v>0</v>
      </c>
      <c r="H685" s="65" t="s">
        <v>1156</v>
      </c>
    </row>
    <row r="686" spans="1:8" s="66" customFormat="1" ht="18" customHeight="1" x14ac:dyDescent="0.3">
      <c r="A686" s="63">
        <v>8779</v>
      </c>
      <c r="B686" s="64" t="s">
        <v>888</v>
      </c>
      <c r="C686" s="65" t="s">
        <v>891</v>
      </c>
      <c r="D686" s="65" t="s">
        <v>1154</v>
      </c>
      <c r="E686" s="65" t="s">
        <v>693</v>
      </c>
      <c r="F686" s="65" t="s">
        <v>1931</v>
      </c>
      <c r="G686" s="65" t="s">
        <v>21</v>
      </c>
      <c r="H686" s="65" t="s">
        <v>1932</v>
      </c>
    </row>
    <row r="687" spans="1:8" s="66" customFormat="1" ht="18" customHeight="1" x14ac:dyDescent="0.3">
      <c r="A687" s="63">
        <v>8786</v>
      </c>
      <c r="B687" s="64" t="s">
        <v>889</v>
      </c>
      <c r="C687" s="65" t="s">
        <v>891</v>
      </c>
      <c r="D687" s="65" t="s">
        <v>1220</v>
      </c>
      <c r="E687" s="65" t="s">
        <v>158</v>
      </c>
      <c r="F687" s="65" t="s">
        <v>1933</v>
      </c>
      <c r="G687" s="65" t="s">
        <v>0</v>
      </c>
      <c r="H687" s="65" t="s">
        <v>1156</v>
      </c>
    </row>
    <row r="688" spans="1:8" s="66" customFormat="1" ht="18" customHeight="1" x14ac:dyDescent="0.3">
      <c r="A688" s="63">
        <v>8818</v>
      </c>
      <c r="B688" s="64" t="s">
        <v>890</v>
      </c>
      <c r="C688" s="65" t="s">
        <v>891</v>
      </c>
      <c r="D688" s="65" t="s">
        <v>1220</v>
      </c>
      <c r="E688" s="65" t="s">
        <v>158</v>
      </c>
      <c r="F688" s="65" t="s">
        <v>1934</v>
      </c>
      <c r="G688" s="65" t="s">
        <v>21</v>
      </c>
      <c r="H688" s="65" t="s">
        <v>1168</v>
      </c>
    </row>
    <row r="689" spans="1:8" s="66" customFormat="1" ht="18" customHeight="1" x14ac:dyDescent="0.3">
      <c r="A689" s="63">
        <v>8837</v>
      </c>
      <c r="B689" s="64" t="s">
        <v>1066</v>
      </c>
      <c r="C689" s="65" t="s">
        <v>891</v>
      </c>
      <c r="D689" s="65" t="s">
        <v>1154</v>
      </c>
      <c r="E689" s="65" t="s">
        <v>693</v>
      </c>
      <c r="F689" s="65" t="s">
        <v>1935</v>
      </c>
      <c r="G689" s="65" t="s">
        <v>0</v>
      </c>
      <c r="H689" s="65" t="s">
        <v>1604</v>
      </c>
    </row>
    <row r="690" spans="1:8" s="66" customFormat="1" ht="18" customHeight="1" x14ac:dyDescent="0.3">
      <c r="A690" s="63">
        <v>8842</v>
      </c>
      <c r="B690" s="64" t="s">
        <v>1067</v>
      </c>
      <c r="C690" s="65" t="s">
        <v>1169</v>
      </c>
      <c r="D690" s="65" t="s">
        <v>1154</v>
      </c>
      <c r="E690" s="65" t="s">
        <v>693</v>
      </c>
      <c r="F690" s="65" t="s">
        <v>1936</v>
      </c>
      <c r="G690" s="65" t="s">
        <v>152</v>
      </c>
      <c r="H690" s="65" t="s">
        <v>1937</v>
      </c>
    </row>
    <row r="691" spans="1:8" s="66" customFormat="1" ht="18" customHeight="1" x14ac:dyDescent="0.3">
      <c r="A691" s="63">
        <v>8843</v>
      </c>
      <c r="B691" s="64" t="s">
        <v>1068</v>
      </c>
      <c r="C691" s="65" t="s">
        <v>891</v>
      </c>
      <c r="D691" s="65" t="s">
        <v>1154</v>
      </c>
      <c r="E691" s="65" t="s">
        <v>1</v>
      </c>
      <c r="F691" s="65" t="s">
        <v>1938</v>
      </c>
      <c r="G691" s="65" t="s">
        <v>17</v>
      </c>
      <c r="H691" s="65" t="s">
        <v>1212</v>
      </c>
    </row>
    <row r="692" spans="1:8" s="66" customFormat="1" ht="18" customHeight="1" x14ac:dyDescent="0.3">
      <c r="A692" s="63">
        <v>8857</v>
      </c>
      <c r="B692" s="64" t="s">
        <v>1069</v>
      </c>
      <c r="C692" s="65" t="s">
        <v>891</v>
      </c>
      <c r="D692" s="65" t="s">
        <v>1039</v>
      </c>
      <c r="E692" s="65" t="s">
        <v>1039</v>
      </c>
      <c r="F692" s="65" t="s">
        <v>1939</v>
      </c>
      <c r="G692" s="65" t="s">
        <v>17</v>
      </c>
      <c r="H692" s="65" t="s">
        <v>1247</v>
      </c>
    </row>
    <row r="693" spans="1:8" s="66" customFormat="1" ht="18" customHeight="1" x14ac:dyDescent="0.3">
      <c r="A693" s="63">
        <v>8864</v>
      </c>
      <c r="B693" s="64" t="s">
        <v>1070</v>
      </c>
      <c r="C693" s="65" t="s">
        <v>891</v>
      </c>
      <c r="D693" s="65" t="s">
        <v>1154</v>
      </c>
      <c r="E693" s="65" t="s">
        <v>482</v>
      </c>
      <c r="F693" s="65" t="s">
        <v>1940</v>
      </c>
      <c r="G693" s="65" t="s">
        <v>0</v>
      </c>
      <c r="H693" s="65" t="s">
        <v>1156</v>
      </c>
    </row>
    <row r="694" spans="1:8" s="66" customFormat="1" ht="18" customHeight="1" x14ac:dyDescent="0.3">
      <c r="A694" s="63">
        <v>8866</v>
      </c>
      <c r="B694" s="64" t="s">
        <v>1071</v>
      </c>
      <c r="C694" s="65" t="s">
        <v>891</v>
      </c>
      <c r="D694" s="65" t="s">
        <v>4</v>
      </c>
      <c r="E694" s="65" t="s">
        <v>1035</v>
      </c>
      <c r="F694" s="65" t="s">
        <v>1941</v>
      </c>
      <c r="G694" s="65" t="s">
        <v>0</v>
      </c>
      <c r="H694" s="65" t="s">
        <v>1156</v>
      </c>
    </row>
    <row r="695" spans="1:8" s="66" customFormat="1" ht="18" customHeight="1" x14ac:dyDescent="0.3">
      <c r="A695" s="63">
        <v>8867</v>
      </c>
      <c r="B695" s="64" t="s">
        <v>1072</v>
      </c>
      <c r="C695" s="65" t="s">
        <v>891</v>
      </c>
      <c r="D695" s="65" t="s">
        <v>1220</v>
      </c>
      <c r="E695" s="65" t="s">
        <v>158</v>
      </c>
      <c r="F695" s="65" t="s">
        <v>1942</v>
      </c>
      <c r="G695" s="65" t="s">
        <v>11</v>
      </c>
      <c r="H695" s="65" t="s">
        <v>1236</v>
      </c>
    </row>
    <row r="696" spans="1:8" s="66" customFormat="1" ht="18" customHeight="1" x14ac:dyDescent="0.3">
      <c r="A696" s="63">
        <v>8868</v>
      </c>
      <c r="B696" s="64" t="s">
        <v>1073</v>
      </c>
      <c r="C696" s="65" t="s">
        <v>1169</v>
      </c>
      <c r="D696" s="65" t="s">
        <v>1220</v>
      </c>
      <c r="E696" s="65" t="s">
        <v>158</v>
      </c>
      <c r="F696" s="65" t="s">
        <v>1943</v>
      </c>
      <c r="G696" s="65" t="s">
        <v>6</v>
      </c>
      <c r="H696" s="65" t="s">
        <v>1651</v>
      </c>
    </row>
    <row r="697" spans="1:8" s="66" customFormat="1" ht="18" customHeight="1" x14ac:dyDescent="0.3">
      <c r="A697" s="63">
        <v>8875</v>
      </c>
      <c r="B697" s="64" t="s">
        <v>1074</v>
      </c>
      <c r="C697" s="65" t="s">
        <v>1169</v>
      </c>
      <c r="D697" s="65" t="s">
        <v>1154</v>
      </c>
      <c r="E697" s="65" t="s">
        <v>693</v>
      </c>
      <c r="F697" s="65" t="s">
        <v>1944</v>
      </c>
      <c r="G697" s="65" t="s">
        <v>156</v>
      </c>
      <c r="H697" s="65" t="s">
        <v>1363</v>
      </c>
    </row>
    <row r="698" spans="1:8" s="66" customFormat="1" ht="18" customHeight="1" x14ac:dyDescent="0.3">
      <c r="A698" s="63">
        <v>8878</v>
      </c>
      <c r="B698" s="64" t="s">
        <v>1075</v>
      </c>
      <c r="C698" s="65" t="s">
        <v>891</v>
      </c>
      <c r="D698" s="65" t="s">
        <v>1154</v>
      </c>
      <c r="E698" s="65" t="s">
        <v>482</v>
      </c>
      <c r="F698" s="65" t="s">
        <v>1945</v>
      </c>
      <c r="G698" s="65" t="s">
        <v>16</v>
      </c>
      <c r="H698" s="65" t="s">
        <v>1946</v>
      </c>
    </row>
    <row r="699" spans="1:8" s="66" customFormat="1" ht="18" customHeight="1" x14ac:dyDescent="0.3">
      <c r="A699" s="63">
        <v>8883</v>
      </c>
      <c r="B699" s="64" t="s">
        <v>664</v>
      </c>
      <c r="C699" s="65" t="s">
        <v>891</v>
      </c>
      <c r="D699" s="65" t="s">
        <v>1154</v>
      </c>
      <c r="E699" s="65" t="s">
        <v>482</v>
      </c>
      <c r="F699" s="65" t="s">
        <v>1947</v>
      </c>
      <c r="G699" s="65" t="s">
        <v>0</v>
      </c>
      <c r="H699" s="65" t="s">
        <v>1185</v>
      </c>
    </row>
    <row r="700" spans="1:8" s="66" customFormat="1" ht="18" customHeight="1" x14ac:dyDescent="0.3">
      <c r="A700" s="63">
        <v>8884</v>
      </c>
      <c r="B700" s="64" t="s">
        <v>705</v>
      </c>
      <c r="C700" s="65" t="s">
        <v>1169</v>
      </c>
      <c r="D700" s="65" t="s">
        <v>1154</v>
      </c>
      <c r="E700" s="65" t="s">
        <v>482</v>
      </c>
      <c r="F700" s="65" t="s">
        <v>1948</v>
      </c>
      <c r="G700" s="65" t="s">
        <v>6</v>
      </c>
      <c r="H700" s="65" t="s">
        <v>1262</v>
      </c>
    </row>
    <row r="701" spans="1:8" s="66" customFormat="1" ht="18" customHeight="1" x14ac:dyDescent="0.3">
      <c r="A701" s="63">
        <v>8886</v>
      </c>
      <c r="B701" s="64" t="s">
        <v>1076</v>
      </c>
      <c r="C701" s="65" t="s">
        <v>891</v>
      </c>
      <c r="D701" s="65" t="s">
        <v>1154</v>
      </c>
      <c r="E701" s="65" t="s">
        <v>482</v>
      </c>
      <c r="F701" s="65" t="s">
        <v>1949</v>
      </c>
      <c r="G701" s="65" t="s">
        <v>16</v>
      </c>
      <c r="H701" s="65" t="s">
        <v>1207</v>
      </c>
    </row>
    <row r="702" spans="1:8" s="66" customFormat="1" ht="18" customHeight="1" x14ac:dyDescent="0.3">
      <c r="A702" s="63">
        <v>8904</v>
      </c>
      <c r="B702" s="64" t="s">
        <v>1077</v>
      </c>
      <c r="C702" s="65" t="s">
        <v>891</v>
      </c>
      <c r="D702" s="65" t="s">
        <v>1154</v>
      </c>
      <c r="E702" s="65" t="s">
        <v>482</v>
      </c>
      <c r="F702" s="65" t="s">
        <v>1950</v>
      </c>
      <c r="G702" s="65" t="s">
        <v>20</v>
      </c>
      <c r="H702" s="65" t="s">
        <v>1372</v>
      </c>
    </row>
    <row r="703" spans="1:8" s="66" customFormat="1" ht="18" customHeight="1" x14ac:dyDescent="0.3">
      <c r="A703" s="63">
        <v>8905</v>
      </c>
      <c r="B703" s="64" t="s">
        <v>1078</v>
      </c>
      <c r="C703" s="65" t="s">
        <v>1169</v>
      </c>
      <c r="D703" s="65" t="s">
        <v>1154</v>
      </c>
      <c r="E703" s="65" t="s">
        <v>473</v>
      </c>
      <c r="F703" s="65" t="s">
        <v>1951</v>
      </c>
      <c r="G703" s="65" t="s">
        <v>155</v>
      </c>
      <c r="H703" s="65" t="s">
        <v>1256</v>
      </c>
    </row>
    <row r="704" spans="1:8" s="66" customFormat="1" ht="18" customHeight="1" x14ac:dyDescent="0.3">
      <c r="A704" s="63">
        <v>8906</v>
      </c>
      <c r="B704" s="64" t="s">
        <v>1079</v>
      </c>
      <c r="C704" s="65" t="s">
        <v>891</v>
      </c>
      <c r="D704" s="65" t="s">
        <v>1154</v>
      </c>
      <c r="E704" s="65" t="s">
        <v>473</v>
      </c>
      <c r="F704" s="65" t="s">
        <v>1952</v>
      </c>
      <c r="G704" s="65" t="s">
        <v>3</v>
      </c>
      <c r="H704" s="65" t="s">
        <v>1403</v>
      </c>
    </row>
    <row r="705" spans="1:8" s="66" customFormat="1" ht="18" customHeight="1" x14ac:dyDescent="0.3">
      <c r="A705" s="63">
        <v>8913</v>
      </c>
      <c r="B705" s="64" t="s">
        <v>19</v>
      </c>
      <c r="C705" s="65" t="s">
        <v>891</v>
      </c>
      <c r="D705" s="65" t="s">
        <v>1154</v>
      </c>
      <c r="E705" s="65" t="s">
        <v>482</v>
      </c>
      <c r="F705" s="65" t="s">
        <v>1953</v>
      </c>
      <c r="G705" s="65" t="s">
        <v>20</v>
      </c>
      <c r="H705" s="65" t="s">
        <v>1168</v>
      </c>
    </row>
    <row r="706" spans="1:8" s="66" customFormat="1" ht="18" customHeight="1" x14ac:dyDescent="0.3">
      <c r="A706" s="63">
        <v>8923</v>
      </c>
      <c r="B706" s="64" t="s">
        <v>1080</v>
      </c>
      <c r="C706" s="65" t="s">
        <v>891</v>
      </c>
      <c r="D706" s="65" t="s">
        <v>1220</v>
      </c>
      <c r="E706" s="65" t="s">
        <v>158</v>
      </c>
      <c r="F706" s="65" t="s">
        <v>1954</v>
      </c>
      <c r="G706" s="65" t="s">
        <v>0</v>
      </c>
      <c r="H706" s="65" t="s">
        <v>1604</v>
      </c>
    </row>
    <row r="707" spans="1:8" s="66" customFormat="1" ht="18" customHeight="1" x14ac:dyDescent="0.3">
      <c r="A707" s="63">
        <v>8925</v>
      </c>
      <c r="B707" s="64" t="s">
        <v>1081</v>
      </c>
      <c r="C707" s="65" t="s">
        <v>891</v>
      </c>
      <c r="D707" s="65" t="s">
        <v>1154</v>
      </c>
      <c r="E707" s="65" t="s">
        <v>482</v>
      </c>
      <c r="F707" s="65" t="s">
        <v>1955</v>
      </c>
      <c r="G707" s="65" t="s">
        <v>9</v>
      </c>
      <c r="H707" s="65" t="s">
        <v>1168</v>
      </c>
    </row>
    <row r="708" spans="1:8" s="66" customFormat="1" ht="18" customHeight="1" x14ac:dyDescent="0.3">
      <c r="A708" s="63">
        <v>8926</v>
      </c>
      <c r="B708" s="64" t="s">
        <v>1082</v>
      </c>
      <c r="C708" s="65" t="s">
        <v>891</v>
      </c>
      <c r="D708" s="65" t="s">
        <v>1154</v>
      </c>
      <c r="E708" s="65" t="s">
        <v>482</v>
      </c>
      <c r="F708" s="65" t="s">
        <v>1956</v>
      </c>
      <c r="G708" s="65" t="s">
        <v>0</v>
      </c>
      <c r="H708" s="65" t="s">
        <v>1156</v>
      </c>
    </row>
    <row r="709" spans="1:8" s="66" customFormat="1" ht="18" customHeight="1" x14ac:dyDescent="0.3">
      <c r="A709" s="63">
        <v>8929</v>
      </c>
      <c r="B709" s="64" t="s">
        <v>1083</v>
      </c>
      <c r="C709" s="65" t="s">
        <v>891</v>
      </c>
      <c r="D709" s="65" t="s">
        <v>1154</v>
      </c>
      <c r="E709" s="65" t="s">
        <v>482</v>
      </c>
      <c r="F709" s="65" t="s">
        <v>1957</v>
      </c>
      <c r="G709" s="65" t="s">
        <v>3</v>
      </c>
      <c r="H709" s="65" t="s">
        <v>1164</v>
      </c>
    </row>
    <row r="710" spans="1:8" s="66" customFormat="1" ht="18" customHeight="1" x14ac:dyDescent="0.3">
      <c r="A710" s="67">
        <v>8930</v>
      </c>
      <c r="B710" s="68" t="s">
        <v>2078</v>
      </c>
      <c r="C710" s="69" t="s">
        <v>891</v>
      </c>
      <c r="D710" s="67" t="s">
        <v>1154</v>
      </c>
      <c r="E710" s="67" t="s">
        <v>482</v>
      </c>
      <c r="F710" s="67" t="s">
        <v>2105</v>
      </c>
      <c r="G710" s="67" t="s">
        <v>2108</v>
      </c>
      <c r="H710" s="65" t="s">
        <v>2111</v>
      </c>
    </row>
    <row r="711" spans="1:8" s="66" customFormat="1" ht="18" customHeight="1" x14ac:dyDescent="0.3">
      <c r="A711" s="67">
        <v>8930</v>
      </c>
      <c r="B711" s="68" t="s">
        <v>2078</v>
      </c>
      <c r="C711" s="67" t="s">
        <v>891</v>
      </c>
      <c r="D711" s="67" t="s">
        <v>1154</v>
      </c>
      <c r="E711" s="67" t="s">
        <v>482</v>
      </c>
      <c r="F711" s="67" t="s">
        <v>2105</v>
      </c>
      <c r="G711" s="67" t="s">
        <v>2108</v>
      </c>
      <c r="H711" s="65" t="s">
        <v>2111</v>
      </c>
    </row>
    <row r="712" spans="1:8" s="66" customFormat="1" ht="18" customHeight="1" x14ac:dyDescent="0.3">
      <c r="A712" s="63">
        <v>8937</v>
      </c>
      <c r="B712" s="64" t="s">
        <v>1130</v>
      </c>
      <c r="C712" s="65" t="s">
        <v>891</v>
      </c>
      <c r="D712" s="65" t="s">
        <v>1039</v>
      </c>
      <c r="E712" s="65" t="s">
        <v>1039</v>
      </c>
      <c r="F712" s="65" t="s">
        <v>1958</v>
      </c>
      <c r="G712" s="65" t="s">
        <v>0</v>
      </c>
      <c r="H712" s="65" t="s">
        <v>1156</v>
      </c>
    </row>
    <row r="713" spans="1:8" s="66" customFormat="1" ht="18" customHeight="1" x14ac:dyDescent="0.3">
      <c r="A713" s="63">
        <v>8938</v>
      </c>
      <c r="B713" s="64" t="s">
        <v>1084</v>
      </c>
      <c r="C713" s="65" t="s">
        <v>891</v>
      </c>
      <c r="D713" s="65" t="s">
        <v>1154</v>
      </c>
      <c r="E713" s="65" t="s">
        <v>482</v>
      </c>
      <c r="F713" s="65" t="s">
        <v>1959</v>
      </c>
      <c r="G713" s="65" t="s">
        <v>17</v>
      </c>
      <c r="H713" s="65" t="s">
        <v>1212</v>
      </c>
    </row>
    <row r="714" spans="1:8" s="66" customFormat="1" ht="18" customHeight="1" x14ac:dyDescent="0.3">
      <c r="A714" s="63">
        <v>8940</v>
      </c>
      <c r="B714" s="64" t="s">
        <v>1085</v>
      </c>
      <c r="C714" s="65" t="s">
        <v>891</v>
      </c>
      <c r="D714" s="65" t="s">
        <v>1220</v>
      </c>
      <c r="E714" s="65" t="s">
        <v>158</v>
      </c>
      <c r="F714" s="65" t="s">
        <v>1960</v>
      </c>
      <c r="G714" s="65" t="s">
        <v>0</v>
      </c>
      <c r="H714" s="65" t="s">
        <v>1156</v>
      </c>
    </row>
    <row r="715" spans="1:8" s="66" customFormat="1" ht="18" customHeight="1" x14ac:dyDescent="0.3">
      <c r="A715" s="63">
        <v>8941</v>
      </c>
      <c r="B715" s="64" t="s">
        <v>1086</v>
      </c>
      <c r="C715" s="65" t="s">
        <v>891</v>
      </c>
      <c r="D715" s="65" t="s">
        <v>1154</v>
      </c>
      <c r="E715" s="65" t="s">
        <v>482</v>
      </c>
      <c r="F715" s="65" t="s">
        <v>1961</v>
      </c>
      <c r="G715" s="65" t="s">
        <v>14</v>
      </c>
      <c r="H715" s="65" t="s">
        <v>1168</v>
      </c>
    </row>
    <row r="716" spans="1:8" s="66" customFormat="1" ht="18" customHeight="1" x14ac:dyDescent="0.3">
      <c r="A716" s="63">
        <v>8944</v>
      </c>
      <c r="B716" s="64" t="s">
        <v>1087</v>
      </c>
      <c r="C716" s="65" t="s">
        <v>891</v>
      </c>
      <c r="D716" s="65" t="s">
        <v>1154</v>
      </c>
      <c r="E716" s="65" t="s">
        <v>482</v>
      </c>
      <c r="F716" s="65" t="s">
        <v>1962</v>
      </c>
      <c r="G716" s="65" t="s">
        <v>10</v>
      </c>
      <c r="H716" s="65" t="s">
        <v>1168</v>
      </c>
    </row>
    <row r="717" spans="1:8" s="66" customFormat="1" ht="18" customHeight="1" x14ac:dyDescent="0.3">
      <c r="A717" s="63">
        <v>8950</v>
      </c>
      <c r="B717" s="64" t="s">
        <v>1088</v>
      </c>
      <c r="C717" s="65" t="s">
        <v>1169</v>
      </c>
      <c r="D717" s="65" t="s">
        <v>1154</v>
      </c>
      <c r="E717" s="65" t="s">
        <v>482</v>
      </c>
      <c r="F717" s="65" t="s">
        <v>1963</v>
      </c>
      <c r="G717" s="65" t="s">
        <v>154</v>
      </c>
      <c r="H717" s="65" t="s">
        <v>1964</v>
      </c>
    </row>
    <row r="718" spans="1:8" s="66" customFormat="1" ht="18" customHeight="1" x14ac:dyDescent="0.3">
      <c r="A718" s="63">
        <v>8953</v>
      </c>
      <c r="B718" s="64" t="s">
        <v>662</v>
      </c>
      <c r="C718" s="65" t="s">
        <v>891</v>
      </c>
      <c r="D718" s="65" t="s">
        <v>1154</v>
      </c>
      <c r="E718" s="65" t="s">
        <v>482</v>
      </c>
      <c r="F718" s="65" t="s">
        <v>1965</v>
      </c>
      <c r="G718" s="65" t="s">
        <v>0</v>
      </c>
      <c r="H718" s="65" t="s">
        <v>1966</v>
      </c>
    </row>
    <row r="719" spans="1:8" s="66" customFormat="1" ht="18" customHeight="1" x14ac:dyDescent="0.3">
      <c r="A719" s="63">
        <v>8960</v>
      </c>
      <c r="B719" s="64" t="s">
        <v>1089</v>
      </c>
      <c r="C719" s="65" t="s">
        <v>891</v>
      </c>
      <c r="D719" s="65" t="s">
        <v>549</v>
      </c>
      <c r="E719" s="65" t="s">
        <v>549</v>
      </c>
      <c r="F719" s="65" t="s">
        <v>1967</v>
      </c>
      <c r="G719" s="65" t="s">
        <v>0</v>
      </c>
      <c r="H719" s="65" t="s">
        <v>1156</v>
      </c>
    </row>
    <row r="720" spans="1:8" s="66" customFormat="1" ht="18" customHeight="1" x14ac:dyDescent="0.3">
      <c r="A720" s="63">
        <v>8971</v>
      </c>
      <c r="B720" s="64" t="s">
        <v>1090</v>
      </c>
      <c r="C720" s="65" t="s">
        <v>1169</v>
      </c>
      <c r="D720" s="65" t="s">
        <v>1154</v>
      </c>
      <c r="E720" s="65" t="s">
        <v>482</v>
      </c>
      <c r="F720" s="65" t="s">
        <v>1968</v>
      </c>
      <c r="G720" s="65" t="s">
        <v>153</v>
      </c>
      <c r="H720" s="65" t="s">
        <v>1179</v>
      </c>
    </row>
    <row r="721" spans="1:8" s="66" customFormat="1" ht="18" customHeight="1" x14ac:dyDescent="0.3">
      <c r="A721" s="63">
        <v>8977</v>
      </c>
      <c r="B721" s="64" t="s">
        <v>1091</v>
      </c>
      <c r="C721" s="65" t="s">
        <v>891</v>
      </c>
      <c r="D721" s="65" t="s">
        <v>1154</v>
      </c>
      <c r="E721" s="65" t="s">
        <v>482</v>
      </c>
      <c r="F721" s="65" t="s">
        <v>1969</v>
      </c>
      <c r="G721" s="65" t="s">
        <v>0</v>
      </c>
      <c r="H721" s="65" t="s">
        <v>1166</v>
      </c>
    </row>
    <row r="722" spans="1:8" s="66" customFormat="1" ht="18" customHeight="1" x14ac:dyDescent="0.3">
      <c r="A722" s="63">
        <v>8979</v>
      </c>
      <c r="B722" s="64" t="s">
        <v>26</v>
      </c>
      <c r="C722" s="65" t="s">
        <v>891</v>
      </c>
      <c r="D722" s="65" t="s">
        <v>1154</v>
      </c>
      <c r="E722" s="65" t="s">
        <v>482</v>
      </c>
      <c r="F722" s="65" t="s">
        <v>1970</v>
      </c>
      <c r="G722" s="65" t="s">
        <v>0</v>
      </c>
      <c r="H722" s="65" t="s">
        <v>1166</v>
      </c>
    </row>
    <row r="723" spans="1:8" s="66" customFormat="1" ht="18" customHeight="1" x14ac:dyDescent="0.3">
      <c r="A723" s="63">
        <v>8989</v>
      </c>
      <c r="B723" s="64" t="s">
        <v>1092</v>
      </c>
      <c r="C723" s="65" t="s">
        <v>891</v>
      </c>
      <c r="D723" s="65" t="s">
        <v>1154</v>
      </c>
      <c r="E723" s="65" t="s">
        <v>482</v>
      </c>
      <c r="F723" s="65" t="s">
        <v>1971</v>
      </c>
      <c r="G723" s="65" t="s">
        <v>10</v>
      </c>
      <c r="H723" s="65" t="s">
        <v>1168</v>
      </c>
    </row>
    <row r="724" spans="1:8" s="66" customFormat="1" ht="18" customHeight="1" x14ac:dyDescent="0.3">
      <c r="A724" s="63">
        <v>8990</v>
      </c>
      <c r="B724" s="64" t="s">
        <v>1093</v>
      </c>
      <c r="C724" s="65" t="s">
        <v>891</v>
      </c>
      <c r="D724" s="65" t="s">
        <v>1220</v>
      </c>
      <c r="E724" s="65" t="s">
        <v>158</v>
      </c>
      <c r="F724" s="65" t="s">
        <v>1972</v>
      </c>
      <c r="G724" s="65" t="s">
        <v>11</v>
      </c>
      <c r="H724" s="65" t="s">
        <v>1168</v>
      </c>
    </row>
    <row r="725" spans="1:8" s="66" customFormat="1" ht="18" customHeight="1" x14ac:dyDescent="0.3">
      <c r="A725" s="63">
        <v>8992</v>
      </c>
      <c r="B725" s="64" t="s">
        <v>597</v>
      </c>
      <c r="C725" s="65" t="s">
        <v>891</v>
      </c>
      <c r="D725" s="65" t="s">
        <v>1154</v>
      </c>
      <c r="E725" s="65" t="s">
        <v>482</v>
      </c>
      <c r="F725" s="65" t="s">
        <v>1973</v>
      </c>
      <c r="G725" s="65" t="s">
        <v>8</v>
      </c>
      <c r="H725" s="65" t="s">
        <v>1168</v>
      </c>
    </row>
    <row r="726" spans="1:8" s="66" customFormat="1" ht="18" customHeight="1" x14ac:dyDescent="0.3">
      <c r="A726" s="63">
        <v>8993</v>
      </c>
      <c r="B726" s="64" t="s">
        <v>1094</v>
      </c>
      <c r="C726" s="65" t="s">
        <v>891</v>
      </c>
      <c r="D726" s="65" t="s">
        <v>1039</v>
      </c>
      <c r="E726" s="65" t="s">
        <v>1039</v>
      </c>
      <c r="F726" s="65" t="s">
        <v>1974</v>
      </c>
      <c r="G726" s="65" t="s">
        <v>0</v>
      </c>
      <c r="H726" s="65" t="s">
        <v>1183</v>
      </c>
    </row>
    <row r="727" spans="1:8" s="66" customFormat="1" ht="18" customHeight="1" x14ac:dyDescent="0.3">
      <c r="A727" s="67">
        <v>8995</v>
      </c>
      <c r="B727" s="68" t="s">
        <v>2079</v>
      </c>
      <c r="C727" s="69" t="s">
        <v>891</v>
      </c>
      <c r="D727" s="67" t="s">
        <v>1154</v>
      </c>
      <c r="E727" s="67" t="s">
        <v>482</v>
      </c>
      <c r="F727" s="67" t="s">
        <v>2106</v>
      </c>
      <c r="G727" s="67" t="s">
        <v>2108</v>
      </c>
      <c r="H727" s="65" t="s">
        <v>1168</v>
      </c>
    </row>
    <row r="728" spans="1:8" s="66" customFormat="1" ht="18" customHeight="1" x14ac:dyDescent="0.3">
      <c r="A728" s="67">
        <v>8995</v>
      </c>
      <c r="B728" s="68" t="s">
        <v>2079</v>
      </c>
      <c r="C728" s="67" t="s">
        <v>891</v>
      </c>
      <c r="D728" s="67" t="s">
        <v>1154</v>
      </c>
      <c r="E728" s="67" t="s">
        <v>482</v>
      </c>
      <c r="F728" s="67" t="s">
        <v>2106</v>
      </c>
      <c r="G728" s="67" t="s">
        <v>2108</v>
      </c>
      <c r="H728" s="65" t="s">
        <v>1168</v>
      </c>
    </row>
    <row r="729" spans="1:8" s="66" customFormat="1" ht="18" customHeight="1" x14ac:dyDescent="0.3">
      <c r="A729" s="63">
        <v>8996</v>
      </c>
      <c r="B729" s="64" t="s">
        <v>493</v>
      </c>
      <c r="C729" s="65" t="s">
        <v>891</v>
      </c>
      <c r="D729" s="65" t="s">
        <v>1154</v>
      </c>
      <c r="E729" s="65" t="s">
        <v>482</v>
      </c>
      <c r="F729" s="65" t="s">
        <v>1975</v>
      </c>
      <c r="G729" s="65" t="s">
        <v>0</v>
      </c>
      <c r="H729" s="65" t="s">
        <v>1156</v>
      </c>
    </row>
    <row r="730" spans="1:8" s="66" customFormat="1" ht="18" customHeight="1" x14ac:dyDescent="0.3">
      <c r="A730" s="63">
        <v>8997</v>
      </c>
      <c r="B730" s="64" t="s">
        <v>1095</v>
      </c>
      <c r="C730" s="65" t="s">
        <v>891</v>
      </c>
      <c r="D730" s="65" t="s">
        <v>1154</v>
      </c>
      <c r="E730" s="65" t="s">
        <v>482</v>
      </c>
      <c r="F730" s="65" t="s">
        <v>1976</v>
      </c>
      <c r="G730" s="65" t="s">
        <v>0</v>
      </c>
      <c r="H730" s="65" t="s">
        <v>1156</v>
      </c>
    </row>
    <row r="731" spans="1:8" s="66" customFormat="1" ht="18" customHeight="1" x14ac:dyDescent="0.3">
      <c r="A731" s="63">
        <v>8998</v>
      </c>
      <c r="B731" s="64" t="s">
        <v>1096</v>
      </c>
      <c r="C731" s="65" t="s">
        <v>891</v>
      </c>
      <c r="D731" s="65" t="s">
        <v>1220</v>
      </c>
      <c r="E731" s="65" t="s">
        <v>158</v>
      </c>
      <c r="F731" s="65" t="s">
        <v>1977</v>
      </c>
      <c r="G731" s="65" t="s">
        <v>0</v>
      </c>
      <c r="H731" s="65" t="s">
        <v>1174</v>
      </c>
    </row>
    <row r="732" spans="1:8" s="66" customFormat="1" ht="18" customHeight="1" x14ac:dyDescent="0.3">
      <c r="A732" s="63">
        <v>9009</v>
      </c>
      <c r="B732" s="64" t="s">
        <v>1097</v>
      </c>
      <c r="C732" s="65" t="s">
        <v>891</v>
      </c>
      <c r="D732" s="65" t="s">
        <v>1154</v>
      </c>
      <c r="E732" s="65" t="s">
        <v>482</v>
      </c>
      <c r="F732" s="65" t="s">
        <v>1978</v>
      </c>
      <c r="G732" s="65" t="s">
        <v>3</v>
      </c>
      <c r="H732" s="65" t="s">
        <v>1164</v>
      </c>
    </row>
    <row r="733" spans="1:8" s="66" customFormat="1" ht="18" customHeight="1" x14ac:dyDescent="0.3">
      <c r="A733" s="63">
        <v>9010</v>
      </c>
      <c r="B733" s="64" t="s">
        <v>297</v>
      </c>
      <c r="C733" s="65" t="s">
        <v>891</v>
      </c>
      <c r="D733" s="65" t="s">
        <v>1154</v>
      </c>
      <c r="E733" s="65" t="s">
        <v>482</v>
      </c>
      <c r="F733" s="65" t="s">
        <v>1979</v>
      </c>
      <c r="G733" s="65" t="s">
        <v>3</v>
      </c>
      <c r="H733" s="65" t="s">
        <v>1403</v>
      </c>
    </row>
    <row r="734" spans="1:8" s="66" customFormat="1" ht="18" customHeight="1" x14ac:dyDescent="0.3">
      <c r="A734" s="63">
        <v>9011</v>
      </c>
      <c r="B734" s="64" t="s">
        <v>407</v>
      </c>
      <c r="C734" s="65" t="s">
        <v>891</v>
      </c>
      <c r="D734" s="65" t="s">
        <v>1154</v>
      </c>
      <c r="E734" s="65" t="s">
        <v>482</v>
      </c>
      <c r="F734" s="65" t="s">
        <v>1980</v>
      </c>
      <c r="G734" s="65" t="s">
        <v>0</v>
      </c>
      <c r="H734" s="65" t="s">
        <v>1604</v>
      </c>
    </row>
    <row r="735" spans="1:8" s="66" customFormat="1" ht="18" customHeight="1" x14ac:dyDescent="0.3">
      <c r="A735" s="63">
        <v>9013</v>
      </c>
      <c r="B735" s="64" t="s">
        <v>1098</v>
      </c>
      <c r="C735" s="65" t="s">
        <v>891</v>
      </c>
      <c r="D735" s="65" t="s">
        <v>1154</v>
      </c>
      <c r="E735" s="65" t="s">
        <v>482</v>
      </c>
      <c r="F735" s="65" t="s">
        <v>1981</v>
      </c>
      <c r="G735" s="65" t="s">
        <v>0</v>
      </c>
      <c r="H735" s="65" t="s">
        <v>1183</v>
      </c>
    </row>
    <row r="736" spans="1:8" ht="18" customHeight="1" x14ac:dyDescent="0.3">
      <c r="A736" s="63">
        <v>9014</v>
      </c>
      <c r="B736" s="64" t="s">
        <v>1099</v>
      </c>
      <c r="C736" s="65" t="s">
        <v>891</v>
      </c>
      <c r="D736" s="65" t="s">
        <v>1154</v>
      </c>
      <c r="E736" s="65" t="s">
        <v>482</v>
      </c>
      <c r="F736" s="65" t="s">
        <v>1982</v>
      </c>
      <c r="G736" s="65" t="s">
        <v>0</v>
      </c>
      <c r="H736" s="65" t="s">
        <v>1156</v>
      </c>
    </row>
    <row r="737" spans="1:8" ht="18" customHeight="1" x14ac:dyDescent="0.3">
      <c r="A737" s="63">
        <v>9016</v>
      </c>
      <c r="B737" s="64" t="s">
        <v>1100</v>
      </c>
      <c r="C737" s="65" t="s">
        <v>891</v>
      </c>
      <c r="D737" s="65" t="s">
        <v>1154</v>
      </c>
      <c r="E737" s="65" t="s">
        <v>693</v>
      </c>
      <c r="F737" s="65" t="s">
        <v>1983</v>
      </c>
      <c r="G737" s="65" t="s">
        <v>11</v>
      </c>
      <c r="H737" s="65" t="s">
        <v>1984</v>
      </c>
    </row>
    <row r="738" spans="1:8" ht="18" customHeight="1" x14ac:dyDescent="0.3">
      <c r="A738" s="63">
        <v>9017</v>
      </c>
      <c r="B738" s="64" t="s">
        <v>1101</v>
      </c>
      <c r="C738" s="65" t="s">
        <v>891</v>
      </c>
      <c r="D738" s="65" t="s">
        <v>1154</v>
      </c>
      <c r="E738" s="65" t="s">
        <v>482</v>
      </c>
      <c r="F738" s="65" t="s">
        <v>1985</v>
      </c>
      <c r="G738" s="65" t="s">
        <v>13</v>
      </c>
      <c r="H738" s="65" t="s">
        <v>1168</v>
      </c>
    </row>
    <row r="739" spans="1:8" ht="18" customHeight="1" x14ac:dyDescent="0.3">
      <c r="A739" s="63">
        <v>9019</v>
      </c>
      <c r="B739" s="64" t="s">
        <v>1102</v>
      </c>
      <c r="C739" s="65" t="s">
        <v>1169</v>
      </c>
      <c r="D739" s="65" t="s">
        <v>1154</v>
      </c>
      <c r="E739" s="65" t="s">
        <v>693</v>
      </c>
      <c r="F739" s="65" t="s">
        <v>1986</v>
      </c>
      <c r="G739" s="65" t="s">
        <v>153</v>
      </c>
      <c r="H739" s="65" t="s">
        <v>1266</v>
      </c>
    </row>
    <row r="740" spans="1:8" ht="18" customHeight="1" x14ac:dyDescent="0.3">
      <c r="A740" s="63">
        <v>9021</v>
      </c>
      <c r="B740" s="64" t="s">
        <v>1103</v>
      </c>
      <c r="C740" s="65" t="s">
        <v>891</v>
      </c>
      <c r="D740" s="65" t="s">
        <v>1154</v>
      </c>
      <c r="E740" s="65" t="s">
        <v>482</v>
      </c>
      <c r="F740" s="65" t="s">
        <v>1987</v>
      </c>
      <c r="G740" s="65" t="s">
        <v>16</v>
      </c>
      <c r="H740" s="65" t="s">
        <v>1243</v>
      </c>
    </row>
    <row r="741" spans="1:8" ht="18" customHeight="1" x14ac:dyDescent="0.3">
      <c r="A741" s="63">
        <v>9022</v>
      </c>
      <c r="B741" s="64" t="s">
        <v>655</v>
      </c>
      <c r="C741" s="65" t="s">
        <v>1169</v>
      </c>
      <c r="D741" s="65" t="s">
        <v>1154</v>
      </c>
      <c r="E741" s="65" t="s">
        <v>482</v>
      </c>
      <c r="F741" s="65" t="s">
        <v>1988</v>
      </c>
      <c r="G741" s="65" t="s">
        <v>152</v>
      </c>
      <c r="H741" s="65" t="s">
        <v>1181</v>
      </c>
    </row>
    <row r="742" spans="1:8" ht="18" customHeight="1" x14ac:dyDescent="0.3">
      <c r="A742" s="63">
        <v>9023</v>
      </c>
      <c r="B742" s="64" t="s">
        <v>415</v>
      </c>
      <c r="C742" s="65" t="s">
        <v>1169</v>
      </c>
      <c r="D742" s="65" t="s">
        <v>1154</v>
      </c>
      <c r="E742" s="65" t="s">
        <v>482</v>
      </c>
      <c r="F742" s="65" t="s">
        <v>1989</v>
      </c>
      <c r="G742" s="65" t="s">
        <v>152</v>
      </c>
      <c r="H742" s="65" t="s">
        <v>1277</v>
      </c>
    </row>
    <row r="743" spans="1:8" ht="18" customHeight="1" x14ac:dyDescent="0.3">
      <c r="A743" s="63">
        <v>9024</v>
      </c>
      <c r="B743" s="64" t="s">
        <v>360</v>
      </c>
      <c r="C743" s="65" t="s">
        <v>891</v>
      </c>
      <c r="D743" s="65" t="s">
        <v>1154</v>
      </c>
      <c r="E743" s="65" t="s">
        <v>482</v>
      </c>
      <c r="F743" s="65" t="s">
        <v>1990</v>
      </c>
      <c r="G743" s="65" t="s">
        <v>16</v>
      </c>
      <c r="H743" s="65" t="s">
        <v>1207</v>
      </c>
    </row>
    <row r="744" spans="1:8" ht="18" customHeight="1" x14ac:dyDescent="0.3">
      <c r="A744" s="63">
        <v>9028</v>
      </c>
      <c r="B744" s="64" t="s">
        <v>663</v>
      </c>
      <c r="C744" s="65" t="s">
        <v>891</v>
      </c>
      <c r="D744" s="65" t="s">
        <v>1154</v>
      </c>
      <c r="E744" s="65" t="s">
        <v>482</v>
      </c>
      <c r="F744" s="65" t="s">
        <v>1991</v>
      </c>
      <c r="G744" s="65" t="s">
        <v>16</v>
      </c>
      <c r="H744" s="65" t="s">
        <v>1207</v>
      </c>
    </row>
    <row r="745" spans="1:8" ht="18" customHeight="1" x14ac:dyDescent="0.3">
      <c r="A745" s="63">
        <v>9029</v>
      </c>
      <c r="B745" s="64" t="s">
        <v>1104</v>
      </c>
      <c r="C745" s="65" t="s">
        <v>891</v>
      </c>
      <c r="D745" s="65" t="s">
        <v>1154</v>
      </c>
      <c r="E745" s="65" t="s">
        <v>482</v>
      </c>
      <c r="F745" s="65" t="s">
        <v>1992</v>
      </c>
      <c r="G745" s="65" t="s">
        <v>16</v>
      </c>
      <c r="H745" s="65" t="s">
        <v>1243</v>
      </c>
    </row>
    <row r="746" spans="1:8" ht="18" customHeight="1" x14ac:dyDescent="0.3">
      <c r="A746" s="63">
        <v>9032</v>
      </c>
      <c r="B746" s="64" t="s">
        <v>1105</v>
      </c>
      <c r="C746" s="65" t="s">
        <v>891</v>
      </c>
      <c r="D746" s="65" t="s">
        <v>1154</v>
      </c>
      <c r="E746" s="65" t="s">
        <v>482</v>
      </c>
      <c r="F746" s="65" t="s">
        <v>1993</v>
      </c>
      <c r="G746" s="65" t="s">
        <v>14</v>
      </c>
      <c r="H746" s="65" t="s">
        <v>1622</v>
      </c>
    </row>
    <row r="747" spans="1:8" ht="18" customHeight="1" x14ac:dyDescent="0.3">
      <c r="A747" s="63">
        <v>9034</v>
      </c>
      <c r="B747" s="64" t="s">
        <v>1106</v>
      </c>
      <c r="C747" s="65" t="s">
        <v>891</v>
      </c>
      <c r="D747" s="65" t="s">
        <v>1154</v>
      </c>
      <c r="E747" s="65" t="s">
        <v>482</v>
      </c>
      <c r="F747" s="65" t="s">
        <v>1994</v>
      </c>
      <c r="G747" s="65" t="s">
        <v>0</v>
      </c>
      <c r="H747" s="65" t="s">
        <v>1156</v>
      </c>
    </row>
    <row r="748" spans="1:8" ht="18" customHeight="1" x14ac:dyDescent="0.3">
      <c r="A748" s="63">
        <v>9040</v>
      </c>
      <c r="B748" s="64" t="s">
        <v>1107</v>
      </c>
      <c r="C748" s="65" t="s">
        <v>891</v>
      </c>
      <c r="D748" s="65" t="s">
        <v>1154</v>
      </c>
      <c r="E748" s="65" t="s">
        <v>482</v>
      </c>
      <c r="F748" s="65" t="s">
        <v>1995</v>
      </c>
      <c r="G748" s="65" t="s">
        <v>3</v>
      </c>
      <c r="H748" s="65" t="s">
        <v>1376</v>
      </c>
    </row>
    <row r="749" spans="1:8" ht="18" customHeight="1" x14ac:dyDescent="0.3">
      <c r="A749" s="63">
        <v>9041</v>
      </c>
      <c r="B749" s="64" t="s">
        <v>404</v>
      </c>
      <c r="C749" s="65" t="s">
        <v>891</v>
      </c>
      <c r="D749" s="65" t="s">
        <v>1154</v>
      </c>
      <c r="E749" s="65" t="s">
        <v>482</v>
      </c>
      <c r="F749" s="65" t="s">
        <v>1996</v>
      </c>
      <c r="G749" s="65" t="s">
        <v>7</v>
      </c>
      <c r="H749" s="65" t="s">
        <v>1997</v>
      </c>
    </row>
    <row r="750" spans="1:8" ht="18" customHeight="1" x14ac:dyDescent="0.3">
      <c r="A750" s="63">
        <v>9042</v>
      </c>
      <c r="B750" s="64" t="s">
        <v>674</v>
      </c>
      <c r="C750" s="65" t="s">
        <v>891</v>
      </c>
      <c r="D750" s="65" t="s">
        <v>1154</v>
      </c>
      <c r="E750" s="65" t="s">
        <v>482</v>
      </c>
      <c r="F750" s="65" t="s">
        <v>1998</v>
      </c>
      <c r="G750" s="65" t="s">
        <v>3</v>
      </c>
      <c r="H750" s="65" t="s">
        <v>1999</v>
      </c>
    </row>
    <row r="751" spans="1:8" ht="18" customHeight="1" x14ac:dyDescent="0.3">
      <c r="A751" s="63">
        <v>9048</v>
      </c>
      <c r="B751" s="64" t="s">
        <v>534</v>
      </c>
      <c r="C751" s="65" t="s">
        <v>1169</v>
      </c>
      <c r="D751" s="65" t="s">
        <v>1154</v>
      </c>
      <c r="E751" s="65" t="s">
        <v>482</v>
      </c>
      <c r="F751" s="65" t="s">
        <v>2000</v>
      </c>
      <c r="G751" s="65" t="s">
        <v>155</v>
      </c>
      <c r="H751" s="65" t="s">
        <v>1168</v>
      </c>
    </row>
    <row r="752" spans="1:8" ht="18" customHeight="1" x14ac:dyDescent="0.3">
      <c r="A752" s="63">
        <v>9053</v>
      </c>
      <c r="B752" s="64" t="s">
        <v>516</v>
      </c>
      <c r="C752" s="65" t="s">
        <v>891</v>
      </c>
      <c r="D752" s="65" t="s">
        <v>1154</v>
      </c>
      <c r="E752" s="65" t="s">
        <v>482</v>
      </c>
      <c r="F752" s="65" t="s">
        <v>2001</v>
      </c>
      <c r="G752" s="65" t="s">
        <v>0</v>
      </c>
      <c r="H752" s="65" t="s">
        <v>1185</v>
      </c>
    </row>
    <row r="753" spans="1:8" ht="18" customHeight="1" x14ac:dyDescent="0.3">
      <c r="A753" s="63">
        <v>9056</v>
      </c>
      <c r="B753" s="64" t="s">
        <v>1108</v>
      </c>
      <c r="C753" s="65" t="s">
        <v>891</v>
      </c>
      <c r="D753" s="65" t="s">
        <v>1220</v>
      </c>
      <c r="E753" s="65" t="s">
        <v>158</v>
      </c>
      <c r="F753" s="65" t="s">
        <v>2002</v>
      </c>
      <c r="G753" s="65" t="s">
        <v>0</v>
      </c>
      <c r="H753" s="65" t="s">
        <v>1156</v>
      </c>
    </row>
    <row r="754" spans="1:8" ht="18" customHeight="1" x14ac:dyDescent="0.3">
      <c r="A754" s="63">
        <v>9059</v>
      </c>
      <c r="B754" s="64" t="s">
        <v>1109</v>
      </c>
      <c r="C754" s="65" t="s">
        <v>891</v>
      </c>
      <c r="D754" s="65" t="s">
        <v>1154</v>
      </c>
      <c r="E754" s="65" t="s">
        <v>482</v>
      </c>
      <c r="F754" s="65" t="s">
        <v>2003</v>
      </c>
      <c r="G754" s="65" t="s">
        <v>0</v>
      </c>
      <c r="H754" s="65" t="s">
        <v>1156</v>
      </c>
    </row>
    <row r="755" spans="1:8" ht="18" customHeight="1" x14ac:dyDescent="0.3">
      <c r="A755" s="63">
        <v>9060</v>
      </c>
      <c r="B755" s="64" t="s">
        <v>1110</v>
      </c>
      <c r="C755" s="65" t="s">
        <v>891</v>
      </c>
      <c r="D755" s="65" t="s">
        <v>1154</v>
      </c>
      <c r="E755" s="65" t="s">
        <v>1</v>
      </c>
      <c r="F755" s="65" t="s">
        <v>2004</v>
      </c>
      <c r="G755" s="65" t="s">
        <v>0</v>
      </c>
      <c r="H755" s="65" t="s">
        <v>1174</v>
      </c>
    </row>
    <row r="756" spans="1:8" ht="18" customHeight="1" x14ac:dyDescent="0.3">
      <c r="A756" s="71">
        <v>9089</v>
      </c>
      <c r="B756" s="68" t="s">
        <v>1131</v>
      </c>
      <c r="C756" s="67" t="s">
        <v>891</v>
      </c>
      <c r="D756" s="67" t="s">
        <v>1154</v>
      </c>
      <c r="E756" s="67" t="s">
        <v>482</v>
      </c>
      <c r="F756" s="67" t="s">
        <v>2005</v>
      </c>
      <c r="G756" s="67" t="s">
        <v>8</v>
      </c>
      <c r="H756" s="65" t="s">
        <v>1168</v>
      </c>
    </row>
    <row r="757" spans="1:8" ht="18" customHeight="1" x14ac:dyDescent="0.3">
      <c r="A757" s="63">
        <v>9103</v>
      </c>
      <c r="B757" s="64" t="s">
        <v>1111</v>
      </c>
      <c r="C757" s="65" t="s">
        <v>891</v>
      </c>
      <c r="D757" s="65" t="s">
        <v>1154</v>
      </c>
      <c r="E757" s="65" t="s">
        <v>482</v>
      </c>
      <c r="F757" s="65" t="s">
        <v>2006</v>
      </c>
      <c r="G757" s="65" t="s">
        <v>16</v>
      </c>
      <c r="H757" s="65" t="s">
        <v>1207</v>
      </c>
    </row>
    <row r="758" spans="1:8" ht="18" customHeight="1" x14ac:dyDescent="0.3">
      <c r="A758" s="63">
        <v>9113</v>
      </c>
      <c r="B758" s="64" t="s">
        <v>1112</v>
      </c>
      <c r="C758" s="65" t="s">
        <v>891</v>
      </c>
      <c r="D758" s="65" t="s">
        <v>549</v>
      </c>
      <c r="E758" s="65" t="s">
        <v>549</v>
      </c>
      <c r="F758" s="65" t="s">
        <v>2007</v>
      </c>
      <c r="G758" s="65" t="s">
        <v>17</v>
      </c>
      <c r="H758" s="65" t="s">
        <v>1212</v>
      </c>
    </row>
    <row r="759" spans="1:8" ht="18" customHeight="1" x14ac:dyDescent="0.3">
      <c r="A759" s="63">
        <v>9120</v>
      </c>
      <c r="B759" s="64" t="s">
        <v>1113</v>
      </c>
      <c r="C759" s="65" t="s">
        <v>891</v>
      </c>
      <c r="D759" s="65" t="s">
        <v>1220</v>
      </c>
      <c r="E759" s="65" t="s">
        <v>158</v>
      </c>
      <c r="F759" s="65" t="s">
        <v>2008</v>
      </c>
      <c r="G759" s="65" t="s">
        <v>12</v>
      </c>
      <c r="H759" s="65" t="s">
        <v>1197</v>
      </c>
    </row>
    <row r="760" spans="1:8" ht="18" customHeight="1" x14ac:dyDescent="0.3">
      <c r="A760" s="63">
        <v>9197</v>
      </c>
      <c r="B760" s="64" t="s">
        <v>1114</v>
      </c>
      <c r="C760" s="65" t="s">
        <v>891</v>
      </c>
      <c r="D760" s="65" t="s">
        <v>1220</v>
      </c>
      <c r="E760" s="65" t="s">
        <v>158</v>
      </c>
      <c r="F760" s="65" t="s">
        <v>2009</v>
      </c>
      <c r="G760" s="65" t="s">
        <v>17</v>
      </c>
      <c r="H760" s="65" t="s">
        <v>1247</v>
      </c>
    </row>
    <row r="761" spans="1:8" ht="18" customHeight="1" x14ac:dyDescent="0.3">
      <c r="A761" s="63">
        <v>9199</v>
      </c>
      <c r="B761" s="64" t="s">
        <v>1132</v>
      </c>
      <c r="C761" s="65" t="s">
        <v>891</v>
      </c>
      <c r="D761" s="65" t="s">
        <v>1039</v>
      </c>
      <c r="E761" s="65" t="s">
        <v>1039</v>
      </c>
      <c r="F761" s="65" t="s">
        <v>2010</v>
      </c>
      <c r="G761" s="65" t="s">
        <v>0</v>
      </c>
      <c r="H761" s="65" t="s">
        <v>1156</v>
      </c>
    </row>
    <row r="762" spans="1:8" ht="18" customHeight="1" x14ac:dyDescent="0.3">
      <c r="A762" s="63">
        <v>9215</v>
      </c>
      <c r="B762" s="64" t="s">
        <v>1115</v>
      </c>
      <c r="C762" s="65" t="s">
        <v>891</v>
      </c>
      <c r="D762" s="65" t="s">
        <v>1154</v>
      </c>
      <c r="E762" s="65" t="s">
        <v>1</v>
      </c>
      <c r="F762" s="65" t="s">
        <v>2011</v>
      </c>
      <c r="G762" s="65" t="s">
        <v>0</v>
      </c>
      <c r="H762" s="65" t="s">
        <v>1166</v>
      </c>
    </row>
    <row r="763" spans="1:8" ht="18" customHeight="1" x14ac:dyDescent="0.3">
      <c r="A763" s="71">
        <v>9238</v>
      </c>
      <c r="B763" s="68" t="s">
        <v>2012</v>
      </c>
      <c r="C763" s="67" t="s">
        <v>891</v>
      </c>
      <c r="D763" s="67" t="s">
        <v>1154</v>
      </c>
      <c r="E763" s="67" t="s">
        <v>1</v>
      </c>
      <c r="F763" s="67" t="s">
        <v>2013</v>
      </c>
      <c r="G763" s="67" t="s">
        <v>0</v>
      </c>
      <c r="H763" s="65" t="s">
        <v>1156</v>
      </c>
    </row>
    <row r="764" spans="1:8" ht="18" customHeight="1" x14ac:dyDescent="0.3">
      <c r="A764" s="63">
        <v>9239</v>
      </c>
      <c r="B764" s="64" t="s">
        <v>1116</v>
      </c>
      <c r="C764" s="65" t="s">
        <v>891</v>
      </c>
      <c r="D764" s="65" t="s">
        <v>1039</v>
      </c>
      <c r="E764" s="65" t="s">
        <v>1039</v>
      </c>
      <c r="F764" s="65" t="s">
        <v>2014</v>
      </c>
      <c r="G764" s="65" t="s">
        <v>0</v>
      </c>
      <c r="H764" s="65" t="s">
        <v>1166</v>
      </c>
    </row>
    <row r="765" spans="1:8" ht="18" customHeight="1" x14ac:dyDescent="0.3">
      <c r="A765" s="63">
        <v>9240</v>
      </c>
      <c r="B765" s="64" t="s">
        <v>1117</v>
      </c>
      <c r="C765" s="65" t="s">
        <v>891</v>
      </c>
      <c r="D765" s="65" t="s">
        <v>1220</v>
      </c>
      <c r="E765" s="65" t="s">
        <v>158</v>
      </c>
      <c r="F765" s="65" t="s">
        <v>2015</v>
      </c>
      <c r="G765" s="65" t="s">
        <v>16</v>
      </c>
      <c r="H765" s="65" t="s">
        <v>1236</v>
      </c>
    </row>
    <row r="766" spans="1:8" ht="18" customHeight="1" x14ac:dyDescent="0.3">
      <c r="A766" s="71">
        <v>9247</v>
      </c>
      <c r="B766" s="68" t="s">
        <v>2016</v>
      </c>
      <c r="C766" s="67" t="s">
        <v>891</v>
      </c>
      <c r="D766" s="67" t="s">
        <v>1154</v>
      </c>
      <c r="E766" s="67" t="s">
        <v>473</v>
      </c>
      <c r="F766" s="67" t="s">
        <v>2017</v>
      </c>
      <c r="G766" s="67" t="s">
        <v>15</v>
      </c>
      <c r="H766" s="65" t="s">
        <v>1258</v>
      </c>
    </row>
    <row r="767" spans="1:8" ht="18" customHeight="1" x14ac:dyDescent="0.3">
      <c r="A767" s="63">
        <v>9254</v>
      </c>
      <c r="B767" s="64" t="s">
        <v>1125</v>
      </c>
      <c r="C767" s="65" t="s">
        <v>891</v>
      </c>
      <c r="D767" s="65" t="s">
        <v>1220</v>
      </c>
      <c r="E767" s="65" t="s">
        <v>158</v>
      </c>
      <c r="F767" s="65" t="s">
        <v>2018</v>
      </c>
      <c r="G767" s="65" t="s">
        <v>0</v>
      </c>
      <c r="H767" s="65" t="s">
        <v>1305</v>
      </c>
    </row>
    <row r="768" spans="1:8" ht="18" customHeight="1" x14ac:dyDescent="0.3">
      <c r="A768" s="71">
        <v>9282</v>
      </c>
      <c r="B768" s="68" t="s">
        <v>1133</v>
      </c>
      <c r="C768" s="67" t="s">
        <v>891</v>
      </c>
      <c r="D768" s="67" t="s">
        <v>1154</v>
      </c>
      <c r="E768" s="67" t="s">
        <v>473</v>
      </c>
      <c r="F768" s="67" t="s">
        <v>2019</v>
      </c>
      <c r="G768" s="67" t="s">
        <v>16</v>
      </c>
      <c r="H768" s="65" t="s">
        <v>1565</v>
      </c>
    </row>
    <row r="769" spans="1:8" ht="18" customHeight="1" x14ac:dyDescent="0.3">
      <c r="A769" s="63">
        <v>9291</v>
      </c>
      <c r="B769" s="64" t="s">
        <v>1126</v>
      </c>
      <c r="C769" s="65" t="s">
        <v>891</v>
      </c>
      <c r="D769" s="65" t="s">
        <v>1154</v>
      </c>
      <c r="E769" s="65" t="s">
        <v>482</v>
      </c>
      <c r="F769" s="65" t="s">
        <v>2020</v>
      </c>
      <c r="G769" s="65" t="s">
        <v>7</v>
      </c>
      <c r="H769" s="65" t="s">
        <v>1168</v>
      </c>
    </row>
    <row r="770" spans="1:8" ht="18" customHeight="1" x14ac:dyDescent="0.3">
      <c r="A770" s="71">
        <v>9293</v>
      </c>
      <c r="B770" s="68" t="s">
        <v>2021</v>
      </c>
      <c r="C770" s="67" t="s">
        <v>891</v>
      </c>
      <c r="D770" s="67" t="s">
        <v>1154</v>
      </c>
      <c r="E770" s="67" t="s">
        <v>482</v>
      </c>
      <c r="F770" s="67" t="s">
        <v>2022</v>
      </c>
      <c r="G770" s="67" t="s">
        <v>0</v>
      </c>
      <c r="H770" s="65" t="s">
        <v>1156</v>
      </c>
    </row>
    <row r="771" spans="1:8" ht="18" customHeight="1" x14ac:dyDescent="0.3">
      <c r="A771" s="63">
        <v>9311</v>
      </c>
      <c r="B771" s="64" t="s">
        <v>1134</v>
      </c>
      <c r="C771" s="65" t="s">
        <v>1169</v>
      </c>
      <c r="D771" s="65" t="s">
        <v>1154</v>
      </c>
      <c r="E771" s="65" t="s">
        <v>482</v>
      </c>
      <c r="F771" s="65" t="s">
        <v>2023</v>
      </c>
      <c r="G771" s="65" t="s">
        <v>152</v>
      </c>
      <c r="H771" s="65" t="s">
        <v>1181</v>
      </c>
    </row>
    <row r="772" spans="1:8" ht="18" customHeight="1" x14ac:dyDescent="0.3">
      <c r="A772" s="71">
        <v>9322</v>
      </c>
      <c r="B772" s="68" t="s">
        <v>2024</v>
      </c>
      <c r="C772" s="67" t="s">
        <v>1169</v>
      </c>
      <c r="D772" s="67" t="s">
        <v>1154</v>
      </c>
      <c r="E772" s="67" t="s">
        <v>482</v>
      </c>
      <c r="F772" s="67" t="s">
        <v>2025</v>
      </c>
      <c r="G772" s="67" t="s">
        <v>154</v>
      </c>
      <c r="H772" s="65" t="s">
        <v>1320</v>
      </c>
    </row>
    <row r="773" spans="1:8" ht="18" customHeight="1" x14ac:dyDescent="0.3">
      <c r="A773" s="71">
        <v>9323</v>
      </c>
      <c r="B773" s="68" t="s">
        <v>2026</v>
      </c>
      <c r="C773" s="67" t="s">
        <v>1169</v>
      </c>
      <c r="D773" s="67" t="s">
        <v>1154</v>
      </c>
      <c r="E773" s="67" t="s">
        <v>482</v>
      </c>
      <c r="F773" s="67" t="s">
        <v>2027</v>
      </c>
      <c r="G773" s="67" t="s">
        <v>154</v>
      </c>
      <c r="H773" s="65" t="s">
        <v>1320</v>
      </c>
    </row>
    <row r="774" spans="1:8" ht="18" customHeight="1" x14ac:dyDescent="0.3">
      <c r="A774" s="71">
        <v>9356</v>
      </c>
      <c r="B774" s="68" t="s">
        <v>2028</v>
      </c>
      <c r="C774" s="67" t="s">
        <v>891</v>
      </c>
      <c r="D774" s="67" t="s">
        <v>549</v>
      </c>
      <c r="E774" s="67" t="s">
        <v>874</v>
      </c>
      <c r="F774" s="67" t="s">
        <v>2029</v>
      </c>
      <c r="G774" s="67" t="s">
        <v>0</v>
      </c>
      <c r="H774" s="65" t="s">
        <v>1156</v>
      </c>
    </row>
    <row r="775" spans="1:8" ht="18" customHeight="1" x14ac:dyDescent="0.3">
      <c r="A775" s="71">
        <v>9358</v>
      </c>
      <c r="B775" s="68" t="s">
        <v>1135</v>
      </c>
      <c r="C775" s="67" t="s">
        <v>891</v>
      </c>
      <c r="D775" s="67" t="s">
        <v>1154</v>
      </c>
      <c r="E775" s="67" t="s">
        <v>1</v>
      </c>
      <c r="F775" s="67" t="s">
        <v>2030</v>
      </c>
      <c r="G775" s="67" t="s">
        <v>15</v>
      </c>
      <c r="H775" s="65" t="s">
        <v>1168</v>
      </c>
    </row>
    <row r="776" spans="1:8" ht="18" customHeight="1" x14ac:dyDescent="0.3">
      <c r="A776" s="71">
        <v>9372</v>
      </c>
      <c r="B776" s="68" t="s">
        <v>1147</v>
      </c>
      <c r="C776" s="67" t="s">
        <v>891</v>
      </c>
      <c r="D776" s="67" t="s">
        <v>549</v>
      </c>
      <c r="E776" s="67" t="s">
        <v>874</v>
      </c>
      <c r="F776" s="67" t="s">
        <v>2031</v>
      </c>
      <c r="G776" s="67" t="s">
        <v>0</v>
      </c>
      <c r="H776" s="65" t="s">
        <v>1156</v>
      </c>
    </row>
    <row r="777" spans="1:8" ht="18" customHeight="1" x14ac:dyDescent="0.3">
      <c r="A777" s="67">
        <v>9409</v>
      </c>
      <c r="B777" s="68" t="s">
        <v>2080</v>
      </c>
      <c r="C777" s="69" t="s">
        <v>891</v>
      </c>
      <c r="D777" s="67" t="s">
        <v>1220</v>
      </c>
      <c r="E777" s="67" t="s">
        <v>158</v>
      </c>
      <c r="F777" s="67" t="s">
        <v>2107</v>
      </c>
      <c r="G777" s="67" t="s">
        <v>2108</v>
      </c>
      <c r="H777" s="65" t="s">
        <v>2111</v>
      </c>
    </row>
    <row r="778" spans="1:8" ht="18" customHeight="1" x14ac:dyDescent="0.3">
      <c r="A778" s="67">
        <v>9409</v>
      </c>
      <c r="B778" s="68" t="s">
        <v>2080</v>
      </c>
      <c r="C778" s="67" t="s">
        <v>891</v>
      </c>
      <c r="D778" s="67" t="s">
        <v>1220</v>
      </c>
      <c r="E778" s="67" t="s">
        <v>158</v>
      </c>
      <c r="F778" s="67" t="s">
        <v>2107</v>
      </c>
      <c r="G778" s="67" t="s">
        <v>2108</v>
      </c>
      <c r="H778" s="65" t="s">
        <v>2111</v>
      </c>
    </row>
    <row r="779" spans="1:8" ht="18" customHeight="1" x14ac:dyDescent="0.3">
      <c r="A779" s="71">
        <v>9428</v>
      </c>
      <c r="B779" s="68" t="s">
        <v>2032</v>
      </c>
      <c r="C779" s="67" t="s">
        <v>1169</v>
      </c>
      <c r="D779" s="67" t="s">
        <v>1154</v>
      </c>
      <c r="E779" s="67" t="s">
        <v>473</v>
      </c>
      <c r="F779" s="67" t="s">
        <v>2033</v>
      </c>
      <c r="G779" s="67" t="s">
        <v>153</v>
      </c>
      <c r="H779" s="65" t="s">
        <v>1179</v>
      </c>
    </row>
    <row r="780" spans="1:8" ht="18" customHeight="1" x14ac:dyDescent="0.3">
      <c r="A780" s="71">
        <v>9433</v>
      </c>
      <c r="B780" s="68" t="s">
        <v>1136</v>
      </c>
      <c r="C780" s="67" t="s">
        <v>1169</v>
      </c>
      <c r="D780" s="67" t="s">
        <v>1154</v>
      </c>
      <c r="E780" s="67" t="s">
        <v>482</v>
      </c>
      <c r="F780" s="67" t="s">
        <v>2034</v>
      </c>
      <c r="G780" s="67" t="s">
        <v>156</v>
      </c>
      <c r="H780" s="65" t="s">
        <v>2035</v>
      </c>
    </row>
    <row r="781" spans="1:8" ht="18" customHeight="1" x14ac:dyDescent="0.3">
      <c r="A781" s="63">
        <v>9448</v>
      </c>
      <c r="B781" s="64" t="s">
        <v>1137</v>
      </c>
      <c r="C781" s="65" t="s">
        <v>891</v>
      </c>
      <c r="D781" s="65" t="s">
        <v>1154</v>
      </c>
      <c r="E781" s="65" t="s">
        <v>482</v>
      </c>
      <c r="F781" s="65" t="s">
        <v>2036</v>
      </c>
      <c r="G781" s="65" t="s">
        <v>0</v>
      </c>
      <c r="H781" s="65" t="s">
        <v>1156</v>
      </c>
    </row>
    <row r="782" spans="1:8" ht="18" customHeight="1" x14ac:dyDescent="0.3">
      <c r="A782" s="63">
        <v>9449</v>
      </c>
      <c r="B782" s="64" t="s">
        <v>1138</v>
      </c>
      <c r="C782" s="65" t="s">
        <v>1169</v>
      </c>
      <c r="D782" s="65" t="s">
        <v>1220</v>
      </c>
      <c r="E782" s="65" t="s">
        <v>158</v>
      </c>
      <c r="F782" s="65" t="s">
        <v>1583</v>
      </c>
      <c r="G782" s="65" t="s">
        <v>152</v>
      </c>
      <c r="H782" s="65" t="s">
        <v>1181</v>
      </c>
    </row>
    <row r="783" spans="1:8" ht="18" customHeight="1" x14ac:dyDescent="0.3">
      <c r="A783" s="63">
        <v>9450</v>
      </c>
      <c r="B783" s="64" t="s">
        <v>1139</v>
      </c>
      <c r="C783" s="65" t="s">
        <v>1169</v>
      </c>
      <c r="D783" s="65" t="s">
        <v>1220</v>
      </c>
      <c r="E783" s="65" t="s">
        <v>158</v>
      </c>
      <c r="F783" s="65" t="s">
        <v>2037</v>
      </c>
      <c r="G783" s="65" t="s">
        <v>152</v>
      </c>
      <c r="H783" s="65" t="s">
        <v>1181</v>
      </c>
    </row>
    <row r="784" spans="1:8" ht="18" customHeight="1" x14ac:dyDescent="0.3">
      <c r="A784" s="63">
        <v>9453</v>
      </c>
      <c r="B784" s="64" t="s">
        <v>802</v>
      </c>
      <c r="C784" s="65" t="s">
        <v>891</v>
      </c>
      <c r="D784" s="65" t="s">
        <v>1154</v>
      </c>
      <c r="E784" s="65" t="s">
        <v>482</v>
      </c>
      <c r="F784" s="65" t="s">
        <v>2038</v>
      </c>
      <c r="G784" s="65" t="s">
        <v>16</v>
      </c>
      <c r="H784" s="65" t="s">
        <v>1243</v>
      </c>
    </row>
    <row r="785" spans="1:8" ht="18" customHeight="1" x14ac:dyDescent="0.3">
      <c r="A785" s="63">
        <v>9454</v>
      </c>
      <c r="B785" s="64" t="s">
        <v>1140</v>
      </c>
      <c r="C785" s="65" t="s">
        <v>891</v>
      </c>
      <c r="D785" s="65" t="s">
        <v>1154</v>
      </c>
      <c r="E785" s="65" t="s">
        <v>482</v>
      </c>
      <c r="F785" s="65" t="s">
        <v>2039</v>
      </c>
      <c r="G785" s="65" t="s">
        <v>17</v>
      </c>
      <c r="H785" s="65" t="s">
        <v>1212</v>
      </c>
    </row>
    <row r="786" spans="1:8" ht="18" customHeight="1" x14ac:dyDescent="0.3">
      <c r="A786" s="63">
        <v>9456</v>
      </c>
      <c r="B786" s="64" t="s">
        <v>772</v>
      </c>
      <c r="C786" s="65" t="s">
        <v>891</v>
      </c>
      <c r="D786" s="65" t="s">
        <v>1154</v>
      </c>
      <c r="E786" s="65" t="s">
        <v>482</v>
      </c>
      <c r="F786" s="65" t="s">
        <v>2040</v>
      </c>
      <c r="G786" s="65" t="s">
        <v>3</v>
      </c>
      <c r="H786" s="65" t="s">
        <v>1164</v>
      </c>
    </row>
    <row r="787" spans="1:8" ht="18" customHeight="1" x14ac:dyDescent="0.3">
      <c r="A787" s="63">
        <v>9473</v>
      </c>
      <c r="B787" s="64" t="s">
        <v>1141</v>
      </c>
      <c r="C787" s="65" t="s">
        <v>891</v>
      </c>
      <c r="D787" s="65" t="s">
        <v>1154</v>
      </c>
      <c r="E787" s="65" t="s">
        <v>482</v>
      </c>
      <c r="F787" s="65" t="s">
        <v>2041</v>
      </c>
      <c r="G787" s="65" t="s">
        <v>3</v>
      </c>
      <c r="H787" s="65" t="s">
        <v>1164</v>
      </c>
    </row>
    <row r="788" spans="1:8" ht="18" customHeight="1" x14ac:dyDescent="0.3">
      <c r="A788" s="63">
        <v>9485</v>
      </c>
      <c r="B788" s="64" t="s">
        <v>1142</v>
      </c>
      <c r="C788" s="65" t="s">
        <v>891</v>
      </c>
      <c r="D788" s="65" t="s">
        <v>1154</v>
      </c>
      <c r="E788" s="65" t="s">
        <v>482</v>
      </c>
      <c r="F788" s="65" t="s">
        <v>2042</v>
      </c>
      <c r="G788" s="65" t="s">
        <v>0</v>
      </c>
      <c r="H788" s="65" t="s">
        <v>1174</v>
      </c>
    </row>
    <row r="789" spans="1:8" ht="18" customHeight="1" x14ac:dyDescent="0.3">
      <c r="A789" s="71">
        <v>9487</v>
      </c>
      <c r="B789" s="68" t="s">
        <v>2043</v>
      </c>
      <c r="C789" s="67" t="s">
        <v>891</v>
      </c>
      <c r="D789" s="67" t="s">
        <v>549</v>
      </c>
      <c r="E789" s="67" t="s">
        <v>874</v>
      </c>
      <c r="F789" s="67" t="s">
        <v>2044</v>
      </c>
      <c r="G789" s="67" t="s">
        <v>0</v>
      </c>
      <c r="H789" s="65" t="s">
        <v>1185</v>
      </c>
    </row>
    <row r="790" spans="1:8" ht="18" customHeight="1" x14ac:dyDescent="0.3">
      <c r="A790" s="63">
        <v>9501</v>
      </c>
      <c r="B790" s="64" t="s">
        <v>1143</v>
      </c>
      <c r="C790" s="65" t="s">
        <v>891</v>
      </c>
      <c r="D790" s="65" t="s">
        <v>1220</v>
      </c>
      <c r="E790" s="65" t="s">
        <v>158</v>
      </c>
      <c r="F790" s="65" t="s">
        <v>2045</v>
      </c>
      <c r="G790" s="65" t="s">
        <v>0</v>
      </c>
      <c r="H790" s="65" t="s">
        <v>1463</v>
      </c>
    </row>
    <row r="791" spans="1:8" ht="18" customHeight="1" x14ac:dyDescent="0.3">
      <c r="A791" s="63">
        <v>9511</v>
      </c>
      <c r="B791" s="64" t="s">
        <v>1144</v>
      </c>
      <c r="C791" s="65" t="s">
        <v>891</v>
      </c>
      <c r="D791" s="65" t="s">
        <v>1154</v>
      </c>
      <c r="E791" s="65" t="s">
        <v>482</v>
      </c>
      <c r="F791" s="65" t="s">
        <v>2046</v>
      </c>
      <c r="G791" s="65" t="s">
        <v>3</v>
      </c>
      <c r="H791" s="65" t="s">
        <v>1376</v>
      </c>
    </row>
    <row r="792" spans="1:8" ht="18" customHeight="1" x14ac:dyDescent="0.3">
      <c r="A792" s="63">
        <v>9534</v>
      </c>
      <c r="B792" s="64" t="s">
        <v>318</v>
      </c>
      <c r="C792" s="65" t="s">
        <v>891</v>
      </c>
      <c r="D792" s="65" t="s">
        <v>1154</v>
      </c>
      <c r="E792" s="65" t="s">
        <v>482</v>
      </c>
      <c r="F792" s="65" t="s">
        <v>2047</v>
      </c>
      <c r="G792" s="65" t="s">
        <v>17</v>
      </c>
      <c r="H792" s="65" t="s">
        <v>1212</v>
      </c>
    </row>
    <row r="793" spans="1:8" ht="18" customHeight="1" x14ac:dyDescent="0.3">
      <c r="A793" s="71">
        <v>9544</v>
      </c>
      <c r="B793" s="68" t="s">
        <v>1145</v>
      </c>
      <c r="C793" s="67" t="s">
        <v>1169</v>
      </c>
      <c r="D793" s="67" t="s">
        <v>549</v>
      </c>
      <c r="E793" s="67" t="s">
        <v>549</v>
      </c>
      <c r="F793" s="67" t="s">
        <v>2048</v>
      </c>
      <c r="G793" s="67" t="s">
        <v>6</v>
      </c>
      <c r="H793" s="65" t="s">
        <v>1190</v>
      </c>
    </row>
    <row r="794" spans="1:8" ht="18" customHeight="1" x14ac:dyDescent="0.3">
      <c r="A794" s="71">
        <v>9556</v>
      </c>
      <c r="B794" s="68" t="s">
        <v>2049</v>
      </c>
      <c r="C794" s="67" t="s">
        <v>891</v>
      </c>
      <c r="D794" s="67" t="s">
        <v>1154</v>
      </c>
      <c r="E794" s="67" t="s">
        <v>1</v>
      </c>
      <c r="F794" s="67" t="s">
        <v>2050</v>
      </c>
      <c r="G794" s="67" t="s">
        <v>14</v>
      </c>
      <c r="H794" s="65" t="s">
        <v>1168</v>
      </c>
    </row>
    <row r="795" spans="1:8" ht="18" customHeight="1" x14ac:dyDescent="0.3">
      <c r="A795" s="71">
        <v>9567</v>
      </c>
      <c r="B795" s="68" t="s">
        <v>1146</v>
      </c>
      <c r="C795" s="67" t="s">
        <v>891</v>
      </c>
      <c r="D795" s="67" t="s">
        <v>1154</v>
      </c>
      <c r="E795" s="67" t="s">
        <v>482</v>
      </c>
      <c r="F795" s="67" t="s">
        <v>2051</v>
      </c>
      <c r="G795" s="67" t="s">
        <v>0</v>
      </c>
      <c r="H795" s="65" t="s">
        <v>1156</v>
      </c>
    </row>
    <row r="796" spans="1:8" ht="18" customHeight="1" x14ac:dyDescent="0.3">
      <c r="A796" s="71">
        <v>9622</v>
      </c>
      <c r="B796" s="68" t="s">
        <v>2052</v>
      </c>
      <c r="C796" s="67" t="s">
        <v>891</v>
      </c>
      <c r="D796" s="67" t="s">
        <v>1220</v>
      </c>
      <c r="E796" s="67" t="s">
        <v>158</v>
      </c>
      <c r="F796" s="67" t="s">
        <v>2053</v>
      </c>
      <c r="G796" s="67" t="s">
        <v>21</v>
      </c>
      <c r="H796" s="65" t="s">
        <v>1168</v>
      </c>
    </row>
    <row r="797" spans="1:8" ht="18" customHeight="1" x14ac:dyDescent="0.3">
      <c r="A797" s="71">
        <v>9635</v>
      </c>
      <c r="B797" s="68" t="s">
        <v>2054</v>
      </c>
      <c r="C797" s="67" t="s">
        <v>1344</v>
      </c>
      <c r="D797" s="67" t="s">
        <v>1154</v>
      </c>
      <c r="E797" s="67" t="s">
        <v>482</v>
      </c>
      <c r="F797" s="67" t="s">
        <v>2055</v>
      </c>
      <c r="G797" s="67" t="s">
        <v>1346</v>
      </c>
      <c r="H797" s="65" t="s">
        <v>1168</v>
      </c>
    </row>
    <row r="798" spans="1:8" ht="18" customHeight="1" x14ac:dyDescent="0.3">
      <c r="A798" s="71">
        <v>9657</v>
      </c>
      <c r="B798" s="72" t="s">
        <v>2056</v>
      </c>
      <c r="C798" s="67" t="s">
        <v>891</v>
      </c>
      <c r="D798" s="67" t="s">
        <v>1154</v>
      </c>
      <c r="E798" s="67" t="s">
        <v>473</v>
      </c>
      <c r="F798" s="67" t="s">
        <v>2057</v>
      </c>
      <c r="G798" s="67" t="s">
        <v>5</v>
      </c>
      <c r="H798" s="65" t="s">
        <v>1168</v>
      </c>
    </row>
    <row r="799" spans="1:8" ht="18" customHeight="1" x14ac:dyDescent="0.3">
      <c r="A799" s="71">
        <v>9658</v>
      </c>
      <c r="B799" s="68" t="s">
        <v>2058</v>
      </c>
      <c r="C799" s="67" t="s">
        <v>891</v>
      </c>
      <c r="D799" s="67" t="s">
        <v>1154</v>
      </c>
      <c r="E799" s="67" t="s">
        <v>473</v>
      </c>
      <c r="F799" s="67" t="s">
        <v>2059</v>
      </c>
      <c r="G799" s="67" t="s">
        <v>10</v>
      </c>
      <c r="H799" s="65" t="s">
        <v>1168</v>
      </c>
    </row>
    <row r="800" spans="1:8" ht="18" customHeight="1" x14ac:dyDescent="0.3">
      <c r="A800" s="71">
        <v>9722</v>
      </c>
      <c r="B800" s="68" t="s">
        <v>2060</v>
      </c>
      <c r="C800" s="67" t="s">
        <v>891</v>
      </c>
      <c r="D800" s="67" t="s">
        <v>1154</v>
      </c>
      <c r="E800" s="67" t="s">
        <v>482</v>
      </c>
      <c r="F800" s="67" t="s">
        <v>2061</v>
      </c>
      <c r="G800" s="67" t="s">
        <v>10</v>
      </c>
      <c r="H800" s="65" t="s">
        <v>1168</v>
      </c>
    </row>
    <row r="801" spans="1:8" ht="18" customHeight="1" x14ac:dyDescent="0.3">
      <c r="A801" s="67">
        <v>500</v>
      </c>
      <c r="B801" s="73" t="s">
        <v>2113</v>
      </c>
      <c r="C801" s="67" t="s">
        <v>891</v>
      </c>
      <c r="D801" s="67" t="s">
        <v>1154</v>
      </c>
      <c r="E801" s="74" t="s">
        <v>2114</v>
      </c>
      <c r="F801" s="67"/>
      <c r="G801" s="74" t="s">
        <v>0</v>
      </c>
      <c r="H801" s="65" t="s">
        <v>1183</v>
      </c>
    </row>
    <row r="802" spans="1:8" ht="18" customHeight="1" x14ac:dyDescent="0.3">
      <c r="A802" s="67">
        <v>9278</v>
      </c>
      <c r="B802" s="68" t="s">
        <v>2116</v>
      </c>
      <c r="C802" s="67" t="s">
        <v>891</v>
      </c>
      <c r="D802" s="67" t="s">
        <v>549</v>
      </c>
      <c r="E802" s="67" t="s">
        <v>549</v>
      </c>
      <c r="F802" s="67"/>
      <c r="G802" s="75" t="s">
        <v>0</v>
      </c>
      <c r="H802" s="65" t="s">
        <v>1156</v>
      </c>
    </row>
    <row r="803" spans="1:8" ht="18" customHeight="1" x14ac:dyDescent="0.3">
      <c r="A803" s="67">
        <v>9802</v>
      </c>
      <c r="B803" s="76" t="s">
        <v>2123</v>
      </c>
      <c r="C803" s="67" t="s">
        <v>891</v>
      </c>
      <c r="D803" s="77" t="s">
        <v>1154</v>
      </c>
      <c r="E803" s="67" t="s">
        <v>482</v>
      </c>
      <c r="F803" s="67"/>
      <c r="G803" s="77" t="s">
        <v>0</v>
      </c>
      <c r="H803" s="65" t="s">
        <v>1185</v>
      </c>
    </row>
    <row r="804" spans="1:8" ht="18" customHeight="1" x14ac:dyDescent="0.3">
      <c r="A804" s="67">
        <v>9383</v>
      </c>
      <c r="B804" s="68" t="s">
        <v>2124</v>
      </c>
      <c r="C804" s="67" t="s">
        <v>891</v>
      </c>
      <c r="D804" s="78" t="s">
        <v>549</v>
      </c>
      <c r="E804" s="67" t="s">
        <v>549</v>
      </c>
      <c r="F804" s="67" t="s">
        <v>2125</v>
      </c>
      <c r="G804" s="77" t="s">
        <v>0</v>
      </c>
      <c r="H804" s="65" t="s">
        <v>1156</v>
      </c>
    </row>
    <row r="805" spans="1:8" ht="18" customHeight="1" x14ac:dyDescent="0.3">
      <c r="A805" s="67">
        <v>9764</v>
      </c>
      <c r="B805" s="68" t="s">
        <v>2126</v>
      </c>
      <c r="C805" s="67" t="s">
        <v>891</v>
      </c>
      <c r="D805" s="77" t="s">
        <v>1154</v>
      </c>
      <c r="E805" s="67" t="s">
        <v>473</v>
      </c>
      <c r="F805" s="67" t="s">
        <v>2127</v>
      </c>
      <c r="G805" s="67" t="s">
        <v>0</v>
      </c>
      <c r="H805" s="65" t="s">
        <v>1166</v>
      </c>
    </row>
  </sheetData>
  <conditionalFormatting sqref="C1:C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Stok Kartı ve Fiyatlar</vt:lpstr>
      <vt:lpstr>Mağazalar</vt:lpstr>
      <vt:lpstr>'Stok Kartı ve Fiyatlar'!Yazdırma_Alanı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2026-10-10T15:57:09Z</dcterms:modified>
</cp:coreProperties>
</file>